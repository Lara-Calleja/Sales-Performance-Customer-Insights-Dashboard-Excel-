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hidePivotFieldList="1" defaultThemeVersion="166925"/>
  <mc:AlternateContent xmlns:mc="http://schemas.openxmlformats.org/markup-compatibility/2006">
    <mc:Choice Requires="x15">
      <x15ac:absPath xmlns:x15ac="http://schemas.microsoft.com/office/spreadsheetml/2010/11/ac" url="D:\DataAnalytics\Excel\excel-project-coffee-sales-main\excel-project-coffee-sales-main\"/>
    </mc:Choice>
  </mc:AlternateContent>
  <xr:revisionPtr revIDLastSave="0" documentId="13_ncr:1_{99AFA233-2283-40AB-8043-355E9F7C4BCF}" xr6:coauthVersionLast="47" xr6:coauthVersionMax="47" xr10:uidLastSave="{00000000-0000-0000-0000-000000000000}"/>
  <bookViews>
    <workbookView showSheetTabs="0" xWindow="-108" yWindow="-108" windowWidth="23256" windowHeight="12456"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2" i="17"/>
  <c r="I2" i="17"/>
  <c r="I3" i="17"/>
  <c r="I4" i="17"/>
  <c r="I5" i="17"/>
  <c r="I6" i="17"/>
  <c r="I7" i="17"/>
  <c r="I8" i="17"/>
  <c r="I9" i="17"/>
  <c r="N9" i="17" s="1"/>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N729" i="17" s="1"/>
  <c r="I730" i="17"/>
  <c r="I731" i="17"/>
  <c r="I732" i="17"/>
  <c r="I733" i="17"/>
  <c r="I734" i="17"/>
  <c r="I735" i="17"/>
  <c r="I736" i="17"/>
  <c r="I737" i="17"/>
  <c r="N737" i="17" s="1"/>
  <c r="I738" i="17"/>
  <c r="I739" i="17"/>
  <c r="I740" i="17"/>
  <c r="I741" i="17"/>
  <c r="I742" i="17"/>
  <c r="I743" i="17"/>
  <c r="I744" i="17"/>
  <c r="I745" i="17"/>
  <c r="N745" i="17" s="1"/>
  <c r="I746" i="17"/>
  <c r="I747" i="17"/>
  <c r="I748" i="17"/>
  <c r="I749" i="17"/>
  <c r="I750" i="17"/>
  <c r="I751" i="17"/>
  <c r="I752" i="17"/>
  <c r="I753" i="17"/>
  <c r="N753" i="17" s="1"/>
  <c r="I754" i="17"/>
  <c r="I755" i="17"/>
  <c r="I756" i="17"/>
  <c r="I757" i="17"/>
  <c r="I758" i="17"/>
  <c r="I759" i="17"/>
  <c r="I760" i="17"/>
  <c r="I761" i="17"/>
  <c r="N761" i="17" s="1"/>
  <c r="I762" i="17"/>
  <c r="I763" i="17"/>
  <c r="I764" i="17"/>
  <c r="I765" i="17"/>
  <c r="I766" i="17"/>
  <c r="I767" i="17"/>
  <c r="I768" i="17"/>
  <c r="I769" i="17"/>
  <c r="N769" i="17" s="1"/>
  <c r="I770" i="17"/>
  <c r="I771" i="17"/>
  <c r="I772" i="17"/>
  <c r="I773" i="17"/>
  <c r="I774" i="17"/>
  <c r="I775" i="17"/>
  <c r="I776" i="17"/>
  <c r="I777" i="17"/>
  <c r="N777" i="17" s="1"/>
  <c r="I778" i="17"/>
  <c r="I779" i="17"/>
  <c r="I780" i="17"/>
  <c r="I781" i="17"/>
  <c r="I782" i="17"/>
  <c r="I783" i="17"/>
  <c r="I784" i="17"/>
  <c r="I785" i="17"/>
  <c r="N785" i="17" s="1"/>
  <c r="I786" i="17"/>
  <c r="I787" i="17"/>
  <c r="I788" i="17"/>
  <c r="I789" i="17"/>
  <c r="I790" i="17"/>
  <c r="I791" i="17"/>
  <c r="I792" i="17"/>
  <c r="I793" i="17"/>
  <c r="N793" i="17" s="1"/>
  <c r="I794" i="17"/>
  <c r="I795" i="17"/>
  <c r="I796" i="17"/>
  <c r="I797" i="17"/>
  <c r="I798" i="17"/>
  <c r="I799" i="17"/>
  <c r="I800" i="17"/>
  <c r="I801" i="17"/>
  <c r="N801" i="17" s="1"/>
  <c r="I802" i="17"/>
  <c r="I803" i="17"/>
  <c r="I804" i="17"/>
  <c r="I805" i="17"/>
  <c r="I806" i="17"/>
  <c r="I807" i="17"/>
  <c r="I808" i="17"/>
  <c r="I809" i="17"/>
  <c r="N809" i="17" s="1"/>
  <c r="I810" i="17"/>
  <c r="I811" i="17"/>
  <c r="I812" i="17"/>
  <c r="I813" i="17"/>
  <c r="I814" i="17"/>
  <c r="I815" i="17"/>
  <c r="I816" i="17"/>
  <c r="I817" i="17"/>
  <c r="N817" i="17" s="1"/>
  <c r="I818" i="17"/>
  <c r="I819" i="17"/>
  <c r="I820" i="17"/>
  <c r="I821" i="17"/>
  <c r="I822" i="17"/>
  <c r="I823" i="17"/>
  <c r="I824" i="17"/>
  <c r="I825" i="17"/>
  <c r="N825" i="17" s="1"/>
  <c r="I826" i="17"/>
  <c r="I827" i="17"/>
  <c r="I828" i="17"/>
  <c r="I829" i="17"/>
  <c r="I830" i="17"/>
  <c r="I831" i="17"/>
  <c r="I832" i="17"/>
  <c r="I833" i="17"/>
  <c r="N833" i="17" s="1"/>
  <c r="I834" i="17"/>
  <c r="I835" i="17"/>
  <c r="I836" i="17"/>
  <c r="I837" i="17"/>
  <c r="I838" i="17"/>
  <c r="I839" i="17"/>
  <c r="I840" i="17"/>
  <c r="I841" i="17"/>
  <c r="N841" i="17" s="1"/>
  <c r="I842" i="17"/>
  <c r="I843" i="17"/>
  <c r="I844" i="17"/>
  <c r="I845" i="17"/>
  <c r="I846" i="17"/>
  <c r="I847" i="17"/>
  <c r="I848" i="17"/>
  <c r="I849" i="17"/>
  <c r="N849" i="17" s="1"/>
  <c r="I850" i="17"/>
  <c r="I851" i="17"/>
  <c r="I852" i="17"/>
  <c r="I853" i="17"/>
  <c r="I854" i="17"/>
  <c r="I855" i="17"/>
  <c r="I856" i="17"/>
  <c r="I857" i="17"/>
  <c r="N857" i="17" s="1"/>
  <c r="I858" i="17"/>
  <c r="I859" i="17"/>
  <c r="I860" i="17"/>
  <c r="I861" i="17"/>
  <c r="I862" i="17"/>
  <c r="I863" i="17"/>
  <c r="I864" i="17"/>
  <c r="I865" i="17"/>
  <c r="N865" i="17" s="1"/>
  <c r="I866" i="17"/>
  <c r="I867" i="17"/>
  <c r="I868" i="17"/>
  <c r="I869" i="17"/>
  <c r="I870" i="17"/>
  <c r="I871" i="17"/>
  <c r="I872" i="17"/>
  <c r="I873" i="17"/>
  <c r="N873" i="17" s="1"/>
  <c r="I874" i="17"/>
  <c r="I875" i="17"/>
  <c r="I876" i="17"/>
  <c r="I877" i="17"/>
  <c r="I878" i="17"/>
  <c r="I879" i="17"/>
  <c r="I880" i="17"/>
  <c r="I881" i="17"/>
  <c r="N881" i="17" s="1"/>
  <c r="I882" i="17"/>
  <c r="I883" i="17"/>
  <c r="I884" i="17"/>
  <c r="I885" i="17"/>
  <c r="I886" i="17"/>
  <c r="I887" i="17"/>
  <c r="I888" i="17"/>
  <c r="I889" i="17"/>
  <c r="N889" i="17" s="1"/>
  <c r="I890" i="17"/>
  <c r="I891" i="17"/>
  <c r="I892" i="17"/>
  <c r="I893" i="17"/>
  <c r="I894" i="17"/>
  <c r="I895" i="17"/>
  <c r="I896" i="17"/>
  <c r="I897" i="17"/>
  <c r="N897" i="17" s="1"/>
  <c r="I898" i="17"/>
  <c r="I899" i="17"/>
  <c r="I900" i="17"/>
  <c r="I901" i="17"/>
  <c r="I902" i="17"/>
  <c r="I903" i="17"/>
  <c r="I904" i="17"/>
  <c r="I905" i="17"/>
  <c r="N905" i="17" s="1"/>
  <c r="I906" i="17"/>
  <c r="I907" i="17"/>
  <c r="I908" i="17"/>
  <c r="I909" i="17"/>
  <c r="I910" i="17"/>
  <c r="I911" i="17"/>
  <c r="I912" i="17"/>
  <c r="I913" i="17"/>
  <c r="N913" i="17" s="1"/>
  <c r="I914" i="17"/>
  <c r="I915" i="17"/>
  <c r="I916" i="17"/>
  <c r="I917" i="17"/>
  <c r="I918" i="17"/>
  <c r="I919" i="17"/>
  <c r="I920" i="17"/>
  <c r="I921" i="17"/>
  <c r="N921" i="17" s="1"/>
  <c r="I922" i="17"/>
  <c r="I923" i="17"/>
  <c r="I924" i="17"/>
  <c r="I925" i="17"/>
  <c r="I926" i="17"/>
  <c r="I927" i="17"/>
  <c r="I928" i="17"/>
  <c r="I929" i="17"/>
  <c r="N929" i="17" s="1"/>
  <c r="I930" i="17"/>
  <c r="I931" i="17"/>
  <c r="I932" i="17"/>
  <c r="I933" i="17"/>
  <c r="I934" i="17"/>
  <c r="I935" i="17"/>
  <c r="I936" i="17"/>
  <c r="I937" i="17"/>
  <c r="N937" i="17" s="1"/>
  <c r="I938" i="17"/>
  <c r="I939" i="17"/>
  <c r="I940" i="17"/>
  <c r="I941" i="17"/>
  <c r="I942" i="17"/>
  <c r="I943" i="17"/>
  <c r="I944" i="17"/>
  <c r="I945" i="17"/>
  <c r="N945" i="17" s="1"/>
  <c r="I946" i="17"/>
  <c r="I947" i="17"/>
  <c r="I948" i="17"/>
  <c r="I949" i="17"/>
  <c r="I950" i="17"/>
  <c r="I951" i="17"/>
  <c r="I952" i="17"/>
  <c r="I953" i="17"/>
  <c r="N953" i="17" s="1"/>
  <c r="I954" i="17"/>
  <c r="I955" i="17"/>
  <c r="I956" i="17"/>
  <c r="I957" i="17"/>
  <c r="I958" i="17"/>
  <c r="I959" i="17"/>
  <c r="I960" i="17"/>
  <c r="I961" i="17"/>
  <c r="N961" i="17" s="1"/>
  <c r="I962" i="17"/>
  <c r="I963" i="17"/>
  <c r="I964" i="17"/>
  <c r="I965" i="17"/>
  <c r="I966" i="17"/>
  <c r="I967" i="17"/>
  <c r="I968" i="17"/>
  <c r="I969" i="17"/>
  <c r="N969" i="17" s="1"/>
  <c r="I970" i="17"/>
  <c r="I971" i="17"/>
  <c r="I972" i="17"/>
  <c r="I973" i="17"/>
  <c r="I974" i="17"/>
  <c r="I975" i="17"/>
  <c r="I976" i="17"/>
  <c r="I977" i="17"/>
  <c r="N977" i="17" s="1"/>
  <c r="I978" i="17"/>
  <c r="I979" i="17"/>
  <c r="I980" i="17"/>
  <c r="I981" i="17"/>
  <c r="I982" i="17"/>
  <c r="I983" i="17"/>
  <c r="I984" i="17"/>
  <c r="I985" i="17"/>
  <c r="N985" i="17" s="1"/>
  <c r="I986" i="17"/>
  <c r="I987" i="17"/>
  <c r="I988" i="17"/>
  <c r="I989" i="17"/>
  <c r="I990" i="17"/>
  <c r="I991" i="17"/>
  <c r="I992" i="17"/>
  <c r="I993" i="17"/>
  <c r="N993" i="17" s="1"/>
  <c r="I994" i="17"/>
  <c r="I995" i="17"/>
  <c r="I996" i="17"/>
  <c r="I997" i="17"/>
  <c r="I998" i="17"/>
  <c r="I999" i="17"/>
  <c r="I1000" i="17"/>
  <c r="I1001" i="17"/>
  <c r="N1001" i="17" s="1"/>
  <c r="N727" i="17"/>
  <c r="N3" i="17"/>
  <c r="N4" i="17"/>
  <c r="N5" i="17"/>
  <c r="N6" i="17"/>
  <c r="N7" i="17"/>
  <c r="N8"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8" i="17"/>
  <c r="N730" i="17"/>
  <c r="N731" i="17"/>
  <c r="N732" i="17"/>
  <c r="N733" i="17"/>
  <c r="N734" i="17"/>
  <c r="N735" i="17"/>
  <c r="N736" i="17"/>
  <c r="N738" i="17"/>
  <c r="N739" i="17"/>
  <c r="N740" i="17"/>
  <c r="N741" i="17"/>
  <c r="N742" i="17"/>
  <c r="N743" i="17"/>
  <c r="N744" i="17"/>
  <c r="N746" i="17"/>
  <c r="N747" i="17"/>
  <c r="N748" i="17"/>
  <c r="N749" i="17"/>
  <c r="N750" i="17"/>
  <c r="N751" i="17"/>
  <c r="N752" i="17"/>
  <c r="N754" i="17"/>
  <c r="N755" i="17"/>
  <c r="N756" i="17"/>
  <c r="N757" i="17"/>
  <c r="N758" i="17"/>
  <c r="N759" i="17"/>
  <c r="N760" i="17"/>
  <c r="N762" i="17"/>
  <c r="N763" i="17"/>
  <c r="N764" i="17"/>
  <c r="N765" i="17"/>
  <c r="N766" i="17"/>
  <c r="N767" i="17"/>
  <c r="N768" i="17"/>
  <c r="N770" i="17"/>
  <c r="N771" i="17"/>
  <c r="N772" i="17"/>
  <c r="N773" i="17"/>
  <c r="N774" i="17"/>
  <c r="N775" i="17"/>
  <c r="N776" i="17"/>
  <c r="N778" i="17"/>
  <c r="N779" i="17"/>
  <c r="N780" i="17"/>
  <c r="N781" i="17"/>
  <c r="N782" i="17"/>
  <c r="N783" i="17"/>
  <c r="N784" i="17"/>
  <c r="N786" i="17"/>
  <c r="N787" i="17"/>
  <c r="N788" i="17"/>
  <c r="N789" i="17"/>
  <c r="N790" i="17"/>
  <c r="N791" i="17"/>
  <c r="N792" i="17"/>
  <c r="N794" i="17"/>
  <c r="N795" i="17"/>
  <c r="N796" i="17"/>
  <c r="N797" i="17"/>
  <c r="N798" i="17"/>
  <c r="N799" i="17"/>
  <c r="N800" i="17"/>
  <c r="N802" i="17"/>
  <c r="N803" i="17"/>
  <c r="N804" i="17"/>
  <c r="N805" i="17"/>
  <c r="N806" i="17"/>
  <c r="N807" i="17"/>
  <c r="N808" i="17"/>
  <c r="N810" i="17"/>
  <c r="N811" i="17"/>
  <c r="N812" i="17"/>
  <c r="N813" i="17"/>
  <c r="N814" i="17"/>
  <c r="N815" i="17"/>
  <c r="N816" i="17"/>
  <c r="N818" i="17"/>
  <c r="N819" i="17"/>
  <c r="N820" i="17"/>
  <c r="N821" i="17"/>
  <c r="N822" i="17"/>
  <c r="N823" i="17"/>
  <c r="N824" i="17"/>
  <c r="N826" i="17"/>
  <c r="N827" i="17"/>
  <c r="N828" i="17"/>
  <c r="N829" i="17"/>
  <c r="N830" i="17"/>
  <c r="N831" i="17"/>
  <c r="N832" i="17"/>
  <c r="N834" i="17"/>
  <c r="N835" i="17"/>
  <c r="N836" i="17"/>
  <c r="N837" i="17"/>
  <c r="N838" i="17"/>
  <c r="N839" i="17"/>
  <c r="N840" i="17"/>
  <c r="N842" i="17"/>
  <c r="N843" i="17"/>
  <c r="N844" i="17"/>
  <c r="N845" i="17"/>
  <c r="N846" i="17"/>
  <c r="N847" i="17"/>
  <c r="N848" i="17"/>
  <c r="N850" i="17"/>
  <c r="N851" i="17"/>
  <c r="N852" i="17"/>
  <c r="N853" i="17"/>
  <c r="N854" i="17"/>
  <c r="N855" i="17"/>
  <c r="N856" i="17"/>
  <c r="N858" i="17"/>
  <c r="N859" i="17"/>
  <c r="N860" i="17"/>
  <c r="N861" i="17"/>
  <c r="N862" i="17"/>
  <c r="N863" i="17"/>
  <c r="N864" i="17"/>
  <c r="N866" i="17"/>
  <c r="N867" i="17"/>
  <c r="N868" i="17"/>
  <c r="N869" i="17"/>
  <c r="N870" i="17"/>
  <c r="N871" i="17"/>
  <c r="N872" i="17"/>
  <c r="N874" i="17"/>
  <c r="N875" i="17"/>
  <c r="N876" i="17"/>
  <c r="N877" i="17"/>
  <c r="N878" i="17"/>
  <c r="N879" i="17"/>
  <c r="N880" i="17"/>
  <c r="N882" i="17"/>
  <c r="N883" i="17"/>
  <c r="N884" i="17"/>
  <c r="N885" i="17"/>
  <c r="N886" i="17"/>
  <c r="N887" i="17"/>
  <c r="N888" i="17"/>
  <c r="N890" i="17"/>
  <c r="N891" i="17"/>
  <c r="N892" i="17"/>
  <c r="N893" i="17"/>
  <c r="N894" i="17"/>
  <c r="N895" i="17"/>
  <c r="N896" i="17"/>
  <c r="N898" i="17"/>
  <c r="N899" i="17"/>
  <c r="N900" i="17"/>
  <c r="N901" i="17"/>
  <c r="N902" i="17"/>
  <c r="N903" i="17"/>
  <c r="N904" i="17"/>
  <c r="N906" i="17"/>
  <c r="N907" i="17"/>
  <c r="N908" i="17"/>
  <c r="N909" i="17"/>
  <c r="N910" i="17"/>
  <c r="N911" i="17"/>
  <c r="N912" i="17"/>
  <c r="N914" i="17"/>
  <c r="N915" i="17"/>
  <c r="N916" i="17"/>
  <c r="N917" i="17"/>
  <c r="N918" i="17"/>
  <c r="N919" i="17"/>
  <c r="N920" i="17"/>
  <c r="N922" i="17"/>
  <c r="N923" i="17"/>
  <c r="N924" i="17"/>
  <c r="N925" i="17"/>
  <c r="N926" i="17"/>
  <c r="N927" i="17"/>
  <c r="N928" i="17"/>
  <c r="N930" i="17"/>
  <c r="N931" i="17"/>
  <c r="N932" i="17"/>
  <c r="N933" i="17"/>
  <c r="N934" i="17"/>
  <c r="N935" i="17"/>
  <c r="N936" i="17"/>
  <c r="N938" i="17"/>
  <c r="N939" i="17"/>
  <c r="N940" i="17"/>
  <c r="N941" i="17"/>
  <c r="N942" i="17"/>
  <c r="N943" i="17"/>
  <c r="N944" i="17"/>
  <c r="N946" i="17"/>
  <c r="N947" i="17"/>
  <c r="N948" i="17"/>
  <c r="N949" i="17"/>
  <c r="N950" i="17"/>
  <c r="N951" i="17"/>
  <c r="N952" i="17"/>
  <c r="N954" i="17"/>
  <c r="N955" i="17"/>
  <c r="N956" i="17"/>
  <c r="N957" i="17"/>
  <c r="N958" i="17"/>
  <c r="N959" i="17"/>
  <c r="N960" i="17"/>
  <c r="N962" i="17"/>
  <c r="N963" i="17"/>
  <c r="N964" i="17"/>
  <c r="N965" i="17"/>
  <c r="N966" i="17"/>
  <c r="N967" i="17"/>
  <c r="N968" i="17"/>
  <c r="N970" i="17"/>
  <c r="N971" i="17"/>
  <c r="N972" i="17"/>
  <c r="N973" i="17"/>
  <c r="N974" i="17"/>
  <c r="N975" i="17"/>
  <c r="N976" i="17"/>
  <c r="N978" i="17"/>
  <c r="N979" i="17"/>
  <c r="N980" i="17"/>
  <c r="N981" i="17"/>
  <c r="N982" i="17"/>
  <c r="N983" i="17"/>
  <c r="N984" i="17"/>
  <c r="N986" i="17"/>
  <c r="N987" i="17"/>
  <c r="N988" i="17"/>
  <c r="N989" i="17"/>
  <c r="N990" i="17"/>
  <c r="N991" i="17"/>
  <c r="N992" i="17"/>
  <c r="N994" i="17"/>
  <c r="N995" i="17"/>
  <c r="N996" i="17"/>
  <c r="N997" i="17"/>
  <c r="N998" i="17"/>
  <c r="N999" i="17"/>
  <c r="N1000" i="17"/>
  <c r="N2" i="17"/>
  <c r="M4" i="17"/>
  <c r="M63" i="17"/>
  <c r="M107" i="17"/>
  <c r="M108" i="17"/>
  <c r="M140" i="17"/>
  <c r="M143" i="17"/>
  <c r="M175" i="17"/>
  <c r="M205" i="17"/>
  <c r="M230" i="17"/>
  <c r="M253" i="17"/>
  <c r="M296" i="17"/>
  <c r="M317" i="17"/>
  <c r="M360" i="17"/>
  <c r="M381" i="17"/>
  <c r="M424" i="17"/>
  <c r="M445" i="17"/>
  <c r="M488" i="17"/>
  <c r="M509" i="17"/>
  <c r="M552" i="17"/>
  <c r="M573" i="17"/>
  <c r="M616" i="17"/>
  <c r="M637" i="17"/>
  <c r="M654" i="17"/>
  <c r="M670" i="17"/>
  <c r="M686" i="17"/>
  <c r="M702" i="17"/>
  <c r="M718" i="17"/>
  <c r="M734" i="17"/>
  <c r="M750" i="17"/>
  <c r="M766" i="17"/>
  <c r="M782" i="17"/>
  <c r="M798" i="17"/>
  <c r="M814" i="17"/>
  <c r="M830" i="17"/>
  <c r="M846" i="17"/>
  <c r="M862" i="17"/>
  <c r="M875" i="17"/>
  <c r="M886" i="17"/>
  <c r="M896" i="17"/>
  <c r="M907" i="17"/>
  <c r="M918" i="17"/>
  <c r="M928" i="17"/>
  <c r="M939" i="17"/>
  <c r="M950" i="17"/>
  <c r="M960" i="17"/>
  <c r="M971" i="17"/>
  <c r="M982" i="17"/>
  <c r="M992" i="17"/>
  <c r="J2" i="17"/>
  <c r="O2" i="17" s="1"/>
  <c r="J3" i="17"/>
  <c r="O3" i="17" s="1"/>
  <c r="K3" i="17"/>
  <c r="L3" i="17"/>
  <c r="M3" i="17" s="1"/>
  <c r="J4" i="17"/>
  <c r="O4" i="17" s="1"/>
  <c r="K4" i="17"/>
  <c r="L4" i="17"/>
  <c r="J5" i="17"/>
  <c r="O5" i="17" s="1"/>
  <c r="K5" i="17"/>
  <c r="L5" i="17"/>
  <c r="M5" i="17" s="1"/>
  <c r="J6" i="17"/>
  <c r="O6" i="17" s="1"/>
  <c r="K6" i="17"/>
  <c r="L6" i="17"/>
  <c r="M6" i="17" s="1"/>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M47" i="17" s="1"/>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M79" i="17" s="1"/>
  <c r="J80" i="17"/>
  <c r="O80" i="17" s="1"/>
  <c r="K80" i="17"/>
  <c r="L80" i="17"/>
  <c r="M80" i="17" s="1"/>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J108" i="17"/>
  <c r="O108" i="17" s="1"/>
  <c r="K108" i="17"/>
  <c r="L108" i="17"/>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M139" i="17" s="1"/>
  <c r="J140" i="17"/>
  <c r="O140" i="17" s="1"/>
  <c r="K140" i="17"/>
  <c r="L140" i="17"/>
  <c r="J141" i="17"/>
  <c r="O141" i="17" s="1"/>
  <c r="K141" i="17"/>
  <c r="L141" i="17"/>
  <c r="M141" i="17" s="1"/>
  <c r="J142" i="17"/>
  <c r="O142" i="17" s="1"/>
  <c r="K142" i="17"/>
  <c r="L142" i="17"/>
  <c r="M142" i="17" s="1"/>
  <c r="J143" i="17"/>
  <c r="O143" i="17" s="1"/>
  <c r="K143" i="17"/>
  <c r="L143" i="17"/>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M184" i="17" s="1"/>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M414" i="17" s="1"/>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M588" i="17" s="1"/>
  <c r="J589" i="17"/>
  <c r="O589" i="17" s="1"/>
  <c r="K589" i="17"/>
  <c r="L589" i="17"/>
  <c r="M589" i="17" s="1"/>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M644" i="17" s="1"/>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M697" i="17" s="1"/>
  <c r="J698" i="17"/>
  <c r="O698" i="17" s="1"/>
  <c r="K698" i="17"/>
  <c r="L698" i="17"/>
  <c r="M698" i="17" s="1"/>
  <c r="J699" i="17"/>
  <c r="O699" i="17" s="1"/>
  <c r="K699" i="17"/>
  <c r="L699" i="17"/>
  <c r="M699" i="17" s="1"/>
  <c r="J700" i="17"/>
  <c r="O700" i="17" s="1"/>
  <c r="K700" i="17"/>
  <c r="L700" i="17"/>
  <c r="M700" i="17" s="1"/>
  <c r="J701" i="17"/>
  <c r="O701" i="17" s="1"/>
  <c r="K701" i="17"/>
  <c r="L701" i="17"/>
  <c r="M701" i="17" s="1"/>
  <c r="J702" i="17"/>
  <c r="O702" i="17" s="1"/>
  <c r="K702" i="17"/>
  <c r="L702" i="17"/>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M717" i="17" s="1"/>
  <c r="J718" i="17"/>
  <c r="O718" i="17" s="1"/>
  <c r="K718" i="17"/>
  <c r="L718" i="17"/>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J751" i="17"/>
  <c r="O751" i="17" s="1"/>
  <c r="K751" i="17"/>
  <c r="L751" i="17"/>
  <c r="M751" i="17" s="1"/>
  <c r="J752" i="17"/>
  <c r="O752" i="17" s="1"/>
  <c r="K752" i="17"/>
  <c r="L752" i="17"/>
  <c r="M752" i="17" s="1"/>
  <c r="J753" i="17"/>
  <c r="O753" i="17" s="1"/>
  <c r="K753" i="17"/>
  <c r="L753" i="17"/>
  <c r="M753" i="17" s="1"/>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M772" i="17" s="1"/>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M795" i="17" s="1"/>
  <c r="J796" i="17"/>
  <c r="O796" i="17" s="1"/>
  <c r="K796" i="17"/>
  <c r="L796" i="17"/>
  <c r="M796" i="17" s="1"/>
  <c r="J797" i="17"/>
  <c r="O797" i="17" s="1"/>
  <c r="K797" i="17"/>
  <c r="L797" i="17"/>
  <c r="M797" i="17" s="1"/>
  <c r="J798" i="17"/>
  <c r="O798" i="17" s="1"/>
  <c r="K798" i="17"/>
  <c r="L798" i="17"/>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25" i="17"/>
  <c r="O825" i="17" s="1"/>
  <c r="K825" i="17"/>
  <c r="L825" i="17"/>
  <c r="M825" i="17" s="1"/>
  <c r="J826" i="17"/>
  <c r="O826" i="17" s="1"/>
  <c r="K826" i="17"/>
  <c r="L826" i="17"/>
  <c r="M826" i="17" s="1"/>
  <c r="J827" i="17"/>
  <c r="O827" i="17" s="1"/>
  <c r="K827" i="17"/>
  <c r="L827" i="17"/>
  <c r="M827" i="17" s="1"/>
  <c r="J828" i="17"/>
  <c r="O828" i="17" s="1"/>
  <c r="K828" i="17"/>
  <c r="L828" i="17"/>
  <c r="M828" i="17" s="1"/>
  <c r="J829" i="17"/>
  <c r="O829" i="17" s="1"/>
  <c r="K829" i="17"/>
  <c r="L829" i="17"/>
  <c r="M829" i="17" s="1"/>
  <c r="J830" i="17"/>
  <c r="O830" i="17" s="1"/>
  <c r="K830" i="17"/>
  <c r="L830" i="17"/>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M843" i="17" s="1"/>
  <c r="J844" i="17"/>
  <c r="O844" i="17" s="1"/>
  <c r="K844" i="17"/>
  <c r="L844" i="17"/>
  <c r="M844" i="17" s="1"/>
  <c r="J845" i="17"/>
  <c r="O845" i="17" s="1"/>
  <c r="K845" i="17"/>
  <c r="L845" i="17"/>
  <c r="M845" i="17" s="1"/>
  <c r="J846" i="17"/>
  <c r="O846" i="17" s="1"/>
  <c r="K846" i="17"/>
  <c r="L846" i="17"/>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M869" i="17" s="1"/>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M891" i="17" s="1"/>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M915" i="17" s="1"/>
  <c r="J916" i="17"/>
  <c r="O916" i="17" s="1"/>
  <c r="K916" i="17"/>
  <c r="L916" i="17"/>
  <c r="M916" i="17" s="1"/>
  <c r="J917" i="17"/>
  <c r="O917" i="17" s="1"/>
  <c r="K917" i="17"/>
  <c r="L917" i="17"/>
  <c r="M917" i="17" s="1"/>
  <c r="J918" i="17"/>
  <c r="O918" i="17" s="1"/>
  <c r="K918" i="17"/>
  <c r="L918" i="17"/>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J961" i="17"/>
  <c r="O961" i="17" s="1"/>
  <c r="K961" i="17"/>
  <c r="L961" i="17"/>
  <c r="M961" i="17" s="1"/>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J972" i="17"/>
  <c r="O972" i="17" s="1"/>
  <c r="K972" i="17"/>
  <c r="L972" i="17"/>
  <c r="M972" i="17" s="1"/>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M991" i="17" s="1"/>
  <c r="J992" i="17"/>
  <c r="O992" i="17" s="1"/>
  <c r="K992" i="17"/>
  <c r="L992" i="17"/>
  <c r="J993" i="17"/>
  <c r="O993" i="17" s="1"/>
  <c r="K993" i="17"/>
  <c r="L993" i="17"/>
  <c r="M993" i="17" s="1"/>
  <c r="J994" i="17"/>
  <c r="O994" i="17" s="1"/>
  <c r="K994" i="17"/>
  <c r="L994" i="17"/>
  <c r="M994" i="17" s="1"/>
  <c r="J995" i="17"/>
  <c r="O995" i="17" s="1"/>
  <c r="K995" i="17"/>
  <c r="L995" i="17"/>
  <c r="M995" i="17" s="1"/>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<sst xmlns="http://schemas.openxmlformats.org/spreadsheetml/2006/main" count="11086" uniqueCount="6210">
  <si>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</si>
  <si>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</si>
  <si>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</si>
  <si>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</si>
  <si>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</si>
  <si>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</si>
  <si>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</si>
  <si>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</si>
  <si>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</si>
  <si>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</si>
  <si>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</si>
  <si>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</si>
  <si>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</si>
  <si>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</si>
  <si>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</si>
  <si>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</si>
  <si>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</si>
  <si>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</si>
  <si>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</si>
  <si>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</si>
  <si>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</si>
  <si>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</si>
  <si>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</si>
  <si>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</si>
  <si>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</si>
  <si>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</si>
  <si>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</si>
  <si>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</si>
  <si>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</si>
  <si>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</si>
  <si>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</si>
  <si>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</si>
  <si>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</si>
  <si>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</si>
  <si>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</si>
  <si>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</si>
  <si>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</si>
  <si>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</si>
  <si>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</si>
  <si>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</si>
  <si>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</si>
  <si>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</si>
  <si>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</si>
  <si>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</si>
  <si>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</si>
  <si>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</si>
  <si>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</si>
  <si>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</si>
  <si>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</si>
  <si>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</si>
  <si>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</si>
  <si>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</si>
  <si>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</si>
  <si>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</si>
  <si>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</si>
  <si>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</si>
  <si>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</si>
  <si>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</si>
  <si>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</si>
  <si>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</si>
  <si>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</si>
  <si>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</si>
  <si>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</si>
  <si>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</si>
  <si>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</si>
  <si>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</si>
  <si>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</si>
  <si>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</si>
  <si>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</si>
  <si>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</si>
  <si>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</si>
  <si>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</si>
  <si>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</si>
  <si>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</si>
  <si>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</si>
  <si>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</si>
  <si>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</si>
  <si>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</si>
  <si>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</si>
  <si>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</si>
  <si>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</si>
  <si>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</si>
  <si>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</si>
  <si>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</si>
  <si>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</si>
  <si>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</si>
  <si>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</si>
  <si>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</si>
  <si>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</si>
  <si>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</si>
  <si>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</si>
  <si>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</si>
  <si>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</si>
  <si>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</si>
  <si>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</si>
  <si>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</si>
  <si>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</si>
  <si>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</si>
  <si>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</si>
  <si>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</si>
  <si>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</si>
  <si>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</si>
  <si>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</si>
  <si>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</si>
  <si>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</si>
  <si>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</si>
  <si>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</si>
  <si>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</si>
  <si>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</si>
  <si>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</si>
  <si>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</si>
  <si>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</si>
  <si>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</si>
  <si>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</si>
  <si>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</si>
  <si>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</si>
  <si>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</si>
  <si>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</si>
  <si>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</si>
  <si>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</si>
  <si>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</si>
  <si>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</si>
  <si>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</si>
  <si>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</si>
  <si>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</si>
  <si>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</si>
  <si>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</si>
  <si>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</si>
  <si>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</si>
  <si>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</si>
  <si>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</si>
  <si>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</si>
  <si>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</si>
  <si>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</si>
  <si>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</si>
  <si>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</si>
  <si>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</si>
  <si>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</si>
  <si>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</si>
  <si>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</si>
  <si>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</si>
  <si>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</si>
  <si>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</si>
  <si>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</si>
  <si>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</si>
  <si>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</si>
  <si>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</si>
  <si>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</si>
  <si>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</si>
  <si>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</si>
  <si>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</si>
  <si>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</si>
  <si>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</si>
  <si>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</si>
  <si>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</si>
  <si>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</si>
  <si>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</si>
  <si>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</si>
  <si>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</si>
  <si>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</si>
  <si>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</si>
  <si>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</si>
  <si>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</si>
  <si>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</si>
  <si>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</si>
  <si>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</si>
  <si>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</si>
  <si>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</si>
  <si>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</si>
  <si>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</si>
  <si>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</si>
  <si>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</si>
  <si>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</si>
  <si>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</si>
  <si>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</si>
  <si>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</si>
  <si>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</si>
  <si>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</si>
  <si>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</si>
  <si>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</si>
  <si>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</si>
  <si>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</si>
  <si>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</si>
  <si>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</si>
  <si>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</si>
  <si>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</si>
  <si>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</si>
  <si>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</si>
  <si>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</si>
  <si>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</si>
  <si>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</si>
  <si>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</si>
  <si>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</si>
  <si>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</si>
  <si>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</si>
  <si>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</si>
  <si>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</si>
  <si>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</si>
  <si>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</si>
  <si>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</si>
  <si>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</si>
  <si>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</si>
  <si>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</si>
  <si>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</si>
  <si>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</si>
  <si>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</si>
  <si>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</si>
  <si>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</si>
  <si>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</si>
  <si>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</si>
  <si>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</si>
  <si>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</si>
  <si>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</si>
  <si>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</si>
  <si>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</si>
  <si>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</si>
  <si>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</si>
  <si>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</si>
  <si>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</si>
  <si>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</si>
  <si>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</si>
  <si>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</si>
  <si>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</si>
  <si>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</si>
  <si>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</si>
  <si>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</si>
  <si>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</si>
  <si>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</si>
  <si>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</si>
  <si>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</si>
  <si>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</si>
  <si>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</si>
  <si>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</si>
  <si>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</si>
  <si>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</si>
  <si>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</si>
  <si>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</si>
  <si>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</si>
  <si>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</si>
  <si>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</si>
  <si>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</si>
  <si>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</si>
  <si>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</si>
  <si>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</si>
  <si>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</si>
  <si>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</si>
  <si>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</si>
  <si>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</si>
  <si>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</si>
  <si>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</si>
  <si>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</si>
  <si>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</si>
  <si>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</si>
  <si>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</si>
  <si>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</si>
  <si>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</si>
  <si>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</si>
  <si>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</si>
  <si>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</si>
  <si>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</si>
  <si>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</si>
  <si>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</si>
  <si>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</si>
  <si>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</si>
  <si>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</si>
  <si>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</si>
  <si>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</si>
  <si>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</si>
  <si>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</si>
  <si>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</si>
  <si>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</si>
  <si>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</si>
  <si>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</si>
  <si>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</si>
  <si>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</si>
  <si>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</si>
  <si>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</si>
  <si>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</si>
  <si>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</si>
  <si>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</si>
  <si>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</si>
  <si>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</si>
  <si>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</si>
  <si>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</si>
  <si>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</si>
  <si>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</si>
  <si>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</si>
  <si>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</si>
  <si>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</si>
  <si>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</si>
  <si>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</si>
  <si>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</si>
  <si>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</si>
  <si>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</si>
  <si>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</si>
  <si>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</si>
  <si>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</si>
  <si>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</si>
  <si>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</si>
  <si>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</si>
  <si>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</si>
  <si>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</si>
  <si>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</si>
  <si>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</si>
  <si>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</si>
  <si>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</si>
  <si>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</si>
  <si>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</si>
  <si>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</si>
  <si>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</si>
  <si>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</si>
  <si>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</si>
  <si>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</si>
  <si>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</si>
  <si>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</si>
  <si>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</si>
  <si>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</si>
  <si>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</si>
  <si>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</si>
  <si>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</si>
  <si>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</si>
  <si>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</si>
  <si>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</si>
  <si>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</si>
  <si>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</si>
  <si>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</si>
  <si>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</si>
  <si>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</si>
  <si>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</si>
  <si>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</si>
  <si>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</si>
  <si>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</si>
  <si>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</si>
  <si>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</si>
  <si>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</si>
  <si>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</si>
  <si>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</si>
  <si>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</si>
  <si>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</si>
  <si>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</si>
  <si>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</si>
  <si>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</si>
  <si>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</si>
  <si>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</si>
  <si>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</si>
  <si>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</si>
  <si>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</si>
  <si>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</si>
  <si>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</si>
  <si>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</si>
  <si>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</si>
  <si>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</si>
  <si>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</si>
  <si>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</si>
  <si>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</si>
  <si>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</si>
  <si>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</si>
  <si>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</si>
  <si>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</si>
  <si>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</si>
  <si>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</si>
  <si>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</si>
  <si>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</si>
  <si>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</si>
  <si>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</si>
  <si>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</si>
  <si>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</si>
  <si>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</si>
  <si>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</si>
  <si>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</si>
  <si>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</si>
  <si>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</si>
  <si>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</si>
  <si>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</si>
  <si>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</si>
  <si>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</si>
  <si>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</si>
  <si>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</si>
  <si>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</si>
  <si>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</si>
  <si>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</si>
  <si>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</si>
  <si>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</si>
  <si>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</si>
  <si>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</si>
  <si>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</si>
  <si>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</si>
  <si>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</si>
  <si>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</si>
  <si>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</si>
  <si>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</si>
  <si>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</si>
  <si>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</si>
  <si>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</si>
  <si>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</si>
  <si>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</si>
  <si>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</si>
  <si>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</si>
  <si>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</si>
  <si>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</si>
  <si>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</si>
  <si>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</si>
  <si>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</si>
  <si>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</si>
  <si>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</si>
  <si>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</si>
  <si>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</si>
  <si>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</si>
  <si>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</si>
  <si>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</si>
  <si>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</si>
  <si>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</si>
  <si>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</si>
  <si>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</si>
  <si>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</si>
  <si>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</si>
  <si>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</si>
  <si>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</si>
  <si>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</si>
  <si>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</si>
  <si>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</si>
  <si>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</si>
  <si>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</si>
  <si>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</si>
  <si>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</si>
  <si>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</si>
  <si>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</si>
  <si>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</si>
  <si>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</si>
  <si>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</si>
  <si>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</si>
  <si>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</si>
  <si>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</si>
  <si>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</si>
  <si>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</si>
  <si>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</si>
  <si>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</si>
  <si>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</si>
  <si>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</si>
  <si>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</si>
  <si>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</si>
  <si>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</si>
  <si>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</si>
  <si>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</si>
  <si>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</si>
  <si>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</si>
  <si>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</si>
  <si>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</si>
  <si>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</si>
  <si>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</si>
  <si>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</si>
  <si>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</si>
  <si>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</si>
  <si>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</si>
  <si>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</si>
  <si>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</si>
  <si>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</si>
  <si>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</si>
  <si>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</si>
  <si>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</si>
  <si>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</si>
  <si>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</si>
  <si>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</si>
  <si>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</si>
  <si>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</si>
  <si>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</si>
  <si>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</si>
  <si>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</si>
  <si>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</si>
  <si>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</si>
  <si>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</si>
  <si>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</si>
  <si>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</si>
  <si>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</si>
  <si>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</si>
  <si>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</si>
  <si>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</si>
  <si>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</si>
  <si>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</si>
  <si>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</si>
  <si>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</si>
  <si>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</si>
  <si>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</si>
  <si>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</si>
  <si>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</si>
  <si>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</si>
  <si>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</si>
  <si>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</si>
  <si>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</si>
  <si>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</si>
  <si>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</si>
  <si>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</si>
  <si>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</si>
  <si>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</si>
  <si>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</si>
  <si>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</si>
  <si>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</si>
  <si>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</si>
  <si>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</si>
  <si>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</si>
  <si>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</si>
  <si>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</si>
  <si>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</si>
  <si>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</si>
  <si>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</si>
  <si>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</si>
  <si>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</si>
  <si>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</si>
  <si>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</si>
  <si>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</si>
  <si>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</si>
  <si>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</si>
  <si>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</si>
  <si>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</si>
  <si>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</si>
  <si>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</si>
  <si>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</si>
  <si>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</si>
  <si>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</si>
  <si>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</si>
  <si>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</si>
  <si>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</si>
  <si>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</si>
  <si>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</si>
  <si>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</si>
  <si>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</si>
  <si>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</si>
  <si>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</si>
  <si>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</si>
  <si>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</si>
  <si>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</si>
  <si>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</si>
  <si>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</si>
  <si>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</si>
  <si>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</si>
  <si>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</si>
  <si>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</si>
  <si>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</si>
  <si>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</si>
  <si>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</si>
  <si>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</si>
  <si>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</si>
  <si>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</si>
  <si>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</si>
  <si>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</si>
  <si>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</si>
  <si>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</si>
  <si>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</si>
  <si>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</si>
  <si>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</si>
  <si>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</si>
  <si>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</si>
  <si>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</si>
  <si>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</si>
  <si>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</si>
  <si>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</si>
  <si>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</si>
  <si>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</si>
  <si>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</si>
  <si>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</si>
  <si>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</si>
  <si>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</si>
  <si>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</si>
  <si>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</si>
  <si>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</si>
  <si>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</si>
  <si>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</si>
  <si>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</si>
  <si>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</si>
  <si>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</si>
  <si>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</si>
  <si>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</si>
  <si>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</si>
  <si>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</si>
  <si>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</si>
  <si>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</si>
  <si>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</si>
  <si>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</si>
  <si>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</si>
  <si>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</si>
  <si>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</si>
  <si>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</si>
  <si>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</si>
  <si>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</si>
  <si>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</si>
  <si>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</si>
  <si>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</si>
  <si>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</si>
  <si>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</si>
  <si>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</si>
  <si>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</si>
  <si>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</si>
  <si>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</si>
  <si>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</si>
  <si>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</si>
  <si>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</si>
  <si>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</si>
  <si>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</si>
  <si>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</si>
  <si>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</si>
  <si>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</si>
  <si>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</si>
  <si>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</si>
  <si>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</si>
  <si>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</si>
  <si>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</si>
  <si>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</si>
  <si>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</si>
  <si>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</si>
  <si>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</si>
  <si>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</si>
  <si>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</si>
  <si>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</si>
  <si>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</si>
  <si>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</si>
  <si>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</si>
  <si>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</si>
  <si>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</si>
  <si>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</si>
  <si>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</si>
  <si>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</si>
  <si>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</si>
  <si>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</si>
  <si>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</si>
  <si>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</si>
  <si>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</si>
  <si>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</si>
  <si>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</si>
  <si>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</si>
  <si>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</si>
  <si>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</si>
  <si>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</si>
  <si>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</si>
  <si>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</si>
  <si>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</si>
  <si>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</si>
  <si>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</si>
  <si>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</si>
  <si>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</si>
  <si>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</si>
  <si>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</si>
  <si>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</si>
  <si>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</si>
  <si>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</si>
  <si>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</si>
  <si>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</si>
  <si>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</si>
  <si>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</si>
  <si>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</si>
  <si>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</si>
  <si>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</si>
  <si>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</si>
  <si>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</si>
  <si>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</si>
  <si>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</si>
  <si>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</si>
  <si>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</si>
  <si>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</si>
  <si>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</si>
  <si>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</si>
  <si>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</si>
  <si>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</si>
  <si>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</si>
  <si>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</si>
  <si>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</si>
  <si>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</si>
  <si>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</si>
  <si>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</si>
  <si>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</si>
  <si>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</si>
  <si>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</si>
  <si>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</si>
  <si>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</si>
  <si>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</si>
  <si>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</si>
  <si>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</si>
  <si>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</si>
  <si>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</si>
  <si>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</si>
  <si>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</si>
  <si>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</si>
  <si>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</si>
  <si>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</si>
  <si>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</si>
  <si>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</si>
  <si>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</si>
  <si>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</si>
  <si>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</si>
  <si>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</si>
  <si>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</si>
  <si>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</si>
  <si>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</si>
  <si>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</si>
  <si>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</si>
  <si>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</si>
  <si>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</si>
  <si>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</si>
  <si>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</si>
  <si>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</si>
  <si>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</si>
  <si>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</si>
  <si>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</si>
  <si>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</si>
  <si>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</si>
  <si>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</si>
  <si>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</si>
  <si>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</si>
  <si>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</si>
  <si>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</si>
  <si>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</si>
  <si>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</si>
  <si>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</si>
  <si>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</si>
  <si>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</si>
  <si>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</si>
  <si>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</si>
  <si>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</si>
  <si>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</si>
  <si>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</si>
  <si>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</si>
  <si>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</si>
  <si>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</si>
  <si>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</si>
  <si>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</si>
  <si>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</si>
  <si>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</si>
  <si>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</si>
  <si>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</si>
  <si>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</si>
  <si>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</si>
  <si>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</si>
  <si>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</si>
  <si>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</si>
  <si>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</si>
  <si>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</si>
  <si>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</si>
  <si>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</si>
  <si>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</si>
  <si>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</si>
  <si>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</si>
  <si>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</si>
  <si>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</si>
  <si>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</si>
  <si>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</si>
  <si>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</si>
  <si>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</si>
  <si>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</si>
  <si>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</si>
  <si>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</si>
  <si>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</si>
  <si>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</si>
  <si>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</si>
  <si>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</si>
  <si>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</si>
  <si>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</si>
  <si>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</si>
  <si>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</si>
  <si>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</si>
  <si>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</si>
  <si>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</si>
  <si>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</si>
  <si>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</si>
  <si>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</si>
  <si>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</si>
  <si>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</si>
  <si>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</si>
  <si>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</si>
  <si>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</si>
  <si>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</si>
  <si>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</si>
  <si>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</si>
  <si>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</si>
  <si>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</si>
  <si>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</si>
  <si>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</si>
  <si>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</si>
  <si>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</si>
  <si>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</si>
  <si>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</si>
  <si>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</si>
  <si>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</si>
  <si>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</si>
  <si>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</si>
  <si>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</si>
  <si>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</si>
  <si>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</si>
  <si>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</si>
  <si>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</si>
  <si>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</si>
  <si>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</si>
  <si>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</si>
  <si>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</si>
  <si>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</si>
  <si>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</si>
  <si>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</si>
  <si>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</si>
  <si>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</si>
  <si>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</si>
  <si>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</si>
  <si>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</si>
  <si>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</si>
  <si>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</si>
  <si>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</si>
  <si>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</si>
  <si>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</si>
  <si>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</si>
  <si>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</si>
  <si>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</si>
  <si>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</si>
  <si>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</si>
  <si>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</si>
  <si>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</si>
  <si>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</si>
  <si>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</si>
  <si>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</si>
  <si>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</si>
  <si>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</si>
  <si>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</si>
  <si>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</si>
  <si>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</si>
  <si>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</si>
  <si>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</si>
  <si>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</si>
  <si>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</si>
  <si>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</si>
  <si>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</si>
  <si>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</si>
  <si>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</si>
  <si>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</si>
  <si>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</si>
  <si>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</si>
  <si>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</si>
  <si>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</si>
  <si>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</si>
  <si>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</si>
  <si>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</si>
  <si>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</si>
  <si>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</si>
  <si>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</si>
  <si>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</si>
  <si>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</si>
  <si>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</si>
  <si>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</si>
  <si>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</si>
  <si>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</si>
  <si>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</si>
  <si>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</si>
  <si>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</si>
  <si>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</si>
  <si>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</si>
  <si>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</si>
  <si>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</si>
  <si>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</si>
  <si>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</si>
  <si>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</si>
  <si>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</si>
  <si>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</si>
  <si>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</si>
  <si>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</si>
  <si>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</si>
  <si>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</si>
  <si>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</si>
  <si>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</si>
  <si>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</si>
  <si>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</si>
  <si>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</si>
  <si>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</si>
  <si>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</si>
  <si>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</si>
  <si>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</si>
  <si>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</si>
  <si>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</si>
  <si>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</si>
  <si>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</si>
  <si>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</si>
  <si>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</si>
  <si>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</si>
  <si>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</si>
  <si>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</si>
  <si>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</si>
  <si>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</si>
  <si>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</si>
  <si>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</si>
  <si>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</si>
  <si>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</si>
  <si>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</si>
  <si>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</si>
  <si>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</si>
  <si>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</si>
  <si>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</si>
  <si>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</si>
  <si>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</si>
  <si>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</si>
  <si>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</si>
  <si>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</si>
  <si>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</si>
  <si>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</si>
  <si>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</si>
  <si>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</si>
  <si>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</si>
  <si>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</si>
  <si>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</si>
  <si>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</si>
  <si>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</si>
  <si>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</si>
  <si>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</si>
  <si>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</si>
  <si>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</si>
  <si>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</si>
  <si>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</si>
  <si>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</si>
  <si>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</si>
  <si>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</si>
  <si>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</si>
  <si>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</si>
  <si>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</si>
  <si>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</si>
  <si>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</si>
  <si>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</si>
  <si>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</si>
  <si>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</si>
  <si>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</si>
  <si>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</si>
  <si>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</si>
  <si>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</si>
  <si>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</si>
  <si>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</si>
  <si>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</si>
  <si>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</si>
  <si>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</si>
  <si>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</si>
  <si>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</si>
  <si>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</si>
  <si>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</si>
  <si>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</si>
  <si>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</si>
  <si>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</si>
  <si>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</si>
  <si>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</si>
  <si>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</si>
  <si>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</si>
  <si>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</si>
  <si>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</si>
  <si>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</si>
  <si>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</si>
  <si>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</si>
  <si>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</si>
  <si>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</si>
  <si>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</si>
  <si>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</si>
  <si>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</si>
  <si>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</si>
  <si>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</si>
  <si>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</si>
  <si>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</si>
  <si>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</si>
  <si>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</si>
  <si>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</si>
  <si>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</si>
  <si>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</si>
  <si>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</si>
  <si>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</si>
  <si>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</si>
  <si>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</si>
  <si>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</si>
  <si>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</si>
  <si>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</si>
  <si>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</si>
  <si>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</si>
  <si>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</si>
  <si>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</si>
  <si>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</si>
  <si>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</si>
  <si>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</si>
  <si>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</si>
  <si>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</si>
  <si>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</si>
  <si>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</si>
  <si>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</si>
  <si>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</si>
  <si>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</si>
  <si>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</si>
  <si>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</si>
  <si>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</si>
  <si>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</si>
  <si>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</si>
  <si>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</si>
  <si>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</si>
  <si>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</si>
  <si>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</si>
  <si>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</si>
  <si>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</si>
  <si>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</si>
  <si>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</si>
  <si>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</si>
  <si>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</si>
  <si>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</si>
  <si>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</si>
  <si>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</si>
  <si>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</si>
  <si>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</si>
  <si>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</si>
  <si>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</si>
  <si>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</si>
  <si>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</si>
  <si>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</si>
  <si>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</si>
  <si>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</si>
  <si>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</si>
  <si>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</si>
  <si>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</si>
  <si>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</si>
  <si>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</si>
  <si>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</si>
  <si>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</si>
  <si>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</si>
  <si>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</si>
  <si>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</si>
  <si>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</si>
  <si>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</si>
  <si>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</si>
  <si>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</si>
  <si>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</si>
  <si>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</si>
  <si>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</si>
  <si>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</si>
  <si>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</si>
  <si>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</si>
  <si>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</si>
  <si>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</si>
  <si>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</si>
  <si>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</si>
  <si>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</si>
  <si>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</si>
  <si>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</si>
  <si>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</si>
  <si>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</si>
  <si>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</si>
  <si>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</si>
  <si>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</si>
  <si>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</si>
  <si>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</si>
  <si>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</si>
  <si>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</si>
  <si>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</si>
  <si>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</si>
  <si>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</si>
  <si>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</si>
  <si>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</si>
  <si>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</si>
  <si>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</si>
  <si>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</si>
  <si>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</si>
  <si>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</si>
  <si>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</si>
  <si>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</si>
  <si>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</si>
  <si>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</si>
  <si>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</si>
  <si>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</si>
  <si>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</si>
  <si>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</si>
  <si>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</si>
  <si>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</si>
  <si>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</si>
  <si>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</si>
  <si>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</si>
  <si>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</si>
  <si>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</si>
  <si>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</si>
  <si>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</si>
  <si>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</si>
  <si>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</si>
  <si>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</si>
  <si>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</si>
  <si>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</si>
  <si>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</si>
  <si>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</si>
  <si>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</si>
  <si>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</si>
  <si>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</si>
  <si>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</si>
  <si>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</si>
  <si>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</si>
  <si>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</si>
  <si>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</si>
  <si>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</si>
  <si>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</si>
  <si>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</si>
  <si>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</si>
  <si>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</si>
  <si>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</si>
  <si>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</si>
  <si>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</si>
  <si>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</si>
  <si>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</si>
  <si>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</si>
  <si>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</si>
  <si>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</si>
  <si>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</si>
  <si>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</si>
  <si>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</si>
  <si>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</si>
  <si>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</si>
  <si>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</si>
  <si>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</si>
  <si>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</si>
  <si>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</si>
  <si>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</si>
  <si>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</si>
  <si>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</si>
  <si>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</si>
  <si>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</si>
  <si>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</si>
  <si>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</si>
  <si>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</si>
  <si>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</si>
  <si>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</si>
  <si>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</si>
  <si>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</si>
  <si>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</si>
  <si>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</si>
  <si>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</si>
  <si>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</si>
  <si>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</si>
  <si>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</si>
  <si>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</si>
  <si>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</si>
  <si>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</si>
  <si>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</si>
  <si>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</si>
  <si>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</si>
  <si>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</si>
  <si>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</si>
  <si>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</si>
  <si>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</si>
  <si>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</si>
  <si>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</si>
  <si>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</si>
  <si>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</si>
  <si>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</si>
  <si>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</si>
  <si>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</si>
  <si>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</si>
  <si>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</si>
  <si>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</si>
  <si>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</si>
  <si>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</si>
  <si>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</si>
  <si>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</si>
  <si>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</si>
  <si>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</si>
  <si>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</si>
  <si>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</si>
  <si>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</si>
  <si>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</si>
  <si>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</si>
  <si>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</si>
  <si>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</si>
  <si>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</si>
  <si>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</si>
  <si>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</si>
  <si>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</si>
  <si>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</si>
  <si>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</si>
  <si>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</si>
  <si>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</si>
  <si>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</si>
  <si>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</si>
  <si>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</si>
  <si>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</si>
  <si>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</si>
  <si>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</si>
  <si>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</si>
  <si>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</si>
  <si>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</si>
  <si>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</si>
  <si>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</si>
  <si>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</si>
  <si>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</si>
  <si>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</si>
  <si>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</si>
  <si>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</si>
  <si>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</si>
  <si>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</si>
  <si>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</si>
  <si>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</si>
  <si>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</si>
  <si>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</si>
  <si>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</si>
  <si>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</si>
  <si>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</si>
  <si>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</si>
  <si>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</si>
  <si>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</si>
  <si>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</si>
  <si>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</si>
  <si>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</si>
  <si>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</si>
  <si>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</si>
  <si>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</si>
  <si>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</si>
  <si>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</si>
  <si>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</si>
  <si>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</si>
  <si>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</si>
  <si>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</si>
  <si>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</si>
  <si>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</si>
  <si>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</si>
  <si>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</si>
  <si>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</si>
  <si>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</si>
  <si>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</si>
  <si>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</si>
  <si>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</si>
  <si>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</si>
  <si>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</si>
  <si>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</si>
  <si>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</si>
  <si>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</si>
  <si>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</si>
  <si>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</si>
  <si>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</si>
  <si>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</si>
  <si>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</si>
  <si>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</si>
  <si>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</si>
  <si>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</si>
  <si>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</si>
  <si>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</si>
  <si>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</si>
  <si>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</si>
  <si>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</si>
  <si>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</si>
  <si>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</si>
  <si>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</si>
  <si>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</si>
  <si>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</si>
  <si>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</si>
  <si>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</si>
  <si>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</si>
  <si>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</si>
  <si>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</si>
  <si>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</si>
  <si>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</si>
  <si>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</si>
  <si>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</si>
  <si>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</si>
  <si>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</si>
  <si>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</si>
  <si>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</si>
  <si>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</si>
  <si>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</si>
  <si>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</si>
  <si>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</si>
  <si>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</si>
  <si>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</si>
  <si>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</si>
  <si>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</si>
  <si>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</si>
  <si>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</si>
  <si>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</si>
  <si>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</si>
  <si>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</si>
  <si>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</si>
  <si>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</si>
  <si>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</si>
  <si>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</si>
  <si>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</si>
  <si>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</si>
  <si>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</si>
  <si>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</si>
  <si>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</si>
  <si>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</si>
  <si>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</si>
  <si>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</si>
  <si>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</si>
  <si>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</si>
  <si>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</si>
  <si>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</si>
  <si>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</si>
  <si>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</si>
  <si>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</si>
  <si>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</si>
  <si>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</si>
  <si>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</si>
  <si>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</si>
  <si>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</si>
  <si>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</si>
  <si>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</si>
  <si>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</si>
  <si>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</si>
  <si>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</si>
  <si>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</si>
  <si>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</si>
  <si>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</si>
  <si>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</si>
  <si>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</si>
  <si>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</si>
  <si>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</si>
  <si>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</si>
  <si>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</si>
  <si>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</si>
  <si>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</si>
  <si>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</si>
  <si>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</si>
  <si>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</si>
  <si>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</si>
  <si>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</si>
  <si>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</si>
  <si>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</si>
  <si>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</si>
  <si>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</si>
  <si>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</si>
  <si>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</si>
  <si>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</si>
  <si>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</si>
  <si>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</si>
  <si>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</si>
  <si>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</si>
  <si>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</si>
  <si>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</si>
  <si>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</si>
  <si>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</si>
  <si>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</si>
  <si>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</si>
  <si>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</si>
  <si>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</si>
  <si>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</si>
  <si>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</si>
  <si>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</si>
  <si>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</si>
  <si>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</si>
  <si>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</si>
  <si>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</si>
  <si>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</si>
  <si>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</si>
  <si>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</si>
  <si>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</si>
  <si>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</si>
  <si>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</si>
  <si>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</si>
  <si>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</si>
  <si>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</si>
  <si>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</si>
  <si>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</si>
  <si>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</si>
  <si>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</si>
  <si>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</si>
  <si>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</si>
  <si>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</si>
  <si>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</si>
  <si>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</si>
  <si>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</si>
  <si>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</si>
  <si>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</si>
  <si>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</si>
  <si>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</si>
  <si>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</si>
  <si>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</si>
  <si>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</si>
  <si>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</si>
  <si>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</si>
  <si>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</si>
  <si>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</si>
  <si>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</si>
  <si>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</si>
  <si>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</si>
  <si>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</si>
  <si>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</si>
  <si>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</si>
  <si>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</si>
  <si>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</si>
  <si>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</si>
  <si>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</si>
  <si>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</si>
  <si>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</si>
  <si>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</si>
  <si>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</si>
  <si>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</si>
  <si>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</si>
  <si>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</si>
  <si>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</si>
  <si>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</si>
  <si>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</si>
  <si>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</si>
  <si>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</si>
  <si>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</si>
  <si>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</si>
  <si>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</si>
  <si>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</si>
  <si>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</si>
  <si>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</si>
  <si>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</si>
  <si>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</si>
  <si>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</si>
  <si>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</si>
  <si>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</si>
  <si>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</si>
  <si>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</si>
  <si>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</si>
  <si>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</si>
  <si>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</si>
  <si>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</si>
  <si>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</si>
  <si>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</si>
  <si>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</si>
  <si>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</si>
  <si>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</si>
  <si>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</si>
  <si>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</si>
  <si>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</si>
  <si>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</si>
  <si>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</si>
  <si>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</si>
  <si>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</si>
  <si>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</si>
  <si>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</si>
  <si>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</si>
  <si>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</si>
  <si>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</si>
  <si>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</si>
  <si>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</si>
  <si>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</si>
  <si>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</si>
  <si>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</si>
  <si>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</si>
  <si>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</si>
  <si>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</si>
  <si>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</si>
  <si>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</si>
  <si>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</si>
  <si>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</si>
  <si>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</si>
  <si>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</si>
  <si>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</si>
  <si>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</si>
  <si>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</si>
  <si>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</si>
  <si>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</si>
  <si>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</si>
  <si>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</si>
  <si>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</si>
  <si>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</si>
  <si>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</si>
  <si>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</si>
  <si>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</si>
  <si>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</si>
  <si>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</si>
  <si>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</si>
  <si>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</si>
  <si>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</si>
  <si>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</si>
  <si>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</si>
  <si>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</si>
  <si>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</si>
  <si>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</si>
  <si>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</si>
  <si>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</si>
  <si>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</si>
  <si>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</si>
  <si>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</si>
  <si>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</si>
  <si>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</si>
  <si>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</si>
  <si>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</si>
  <si>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</si>
  <si>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</si>
  <si>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</si>
  <si>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</si>
  <si>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</si>
  <si>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</si>
  <si>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</si>
  <si>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</si>
  <si>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</si>
  <si>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</si>
  <si>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</si>
  <si>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</si>
  <si>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</si>
  <si>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</si>
  <si>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</si>
  <si>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</si>
  <si>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</si>
  <si>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</si>
  <si>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</si>
  <si>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</si>
  <si>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</si>
  <si>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</si>
  <si>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</si>
  <si>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</si>
  <si>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</si>
  <si>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</si>
  <si>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</si>
  <si>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</si>
  <si>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</si>
  <si>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</si>
  <si>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</si>
  <si>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</si>
  <si>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</si>
  <si>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</si>
  <si>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</si>
  <si>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</si>
  <si>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</si>
  <si>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</si>
  <si>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</si>
  <si>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</si>
  <si>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</si>
  <si>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</si>
  <si>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</si>
  <si>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</si>
  <si>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</si>
  <si>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</si>
  <si>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</si>
  <si>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</si>
  <si>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</si>
  <si>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</si>
  <si>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</si>
  <si>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</si>
  <si>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</si>
  <si>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</si>
  <si>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</si>
  <si>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</si>
  <si>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</si>
  <si>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</si>
  <si>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</si>
  <si>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</si>
  <si>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</si>
  <si>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</si>
  <si>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</si>
  <si>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</si>
  <si>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</si>
  <si>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</si>
  <si>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</si>
  <si>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</si>
  <si>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</si>
  <si>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</si>
  <si>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</si>
  <si>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</si>
  <si>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</si>
  <si>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</si>
  <si>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</si>
  <si>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</si>
  <si>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</si>
  <si>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</si>
  <si>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</si>
  <si>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</si>
  <si>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</si>
  <si>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</si>
  <si>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</si>
  <si>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</si>
  <si>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</si>
  <si>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</si>
  <si>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</si>
  <si>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</si>
  <si>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</si>
  <si>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</si>
  <si>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</si>
  <si>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</si>
  <si>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</si>
  <si>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</si>
  <si>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</si>
  <si>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</si>
  <si>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</si>
  <si>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</si>
  <si>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</si>
  <si>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</si>
  <si>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</si>
  <si>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</si>
  <si>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</si>
  <si>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</si>
  <si>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</si>
  <si>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</si>
  <si>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</si>
  <si>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</si>
  <si>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</si>
  <si>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</si>
  <si>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</si>
  <si>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</si>
  <si>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</si>
  <si>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</si>
  <si>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</si>
  <si>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</si>
  <si>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</si>
  <si>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</si>
  <si>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</si>
  <si>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</si>
  <si>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</si>
  <si>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</si>
  <si>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</si>
  <si>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</si>
  <si>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</si>
  <si>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</si>
  <si>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</si>
  <si>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</si>
  <si>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</si>
  <si>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</si>
  <si>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</si>
  <si>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</si>
  <si>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</si>
  <si>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</si>
  <si>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</si>
  <si>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</si>
  <si>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</si>
  <si>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</si>
  <si>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</si>
  <si>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</si>
  <si>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</si>
  <si>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</si>
  <si>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</si>
  <si>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</si>
  <si>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</si>
  <si>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</si>
  <si>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</si>
  <si>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</si>
  <si>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</si>
  <si>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</si>
  <si>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</si>
  <si>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</si>
  <si>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</si>
  <si>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</si>
  <si>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</si>
  <si>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</si>
  <si>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</si>
  <si>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</si>
  <si>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</si>
  <si>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</si>
  <si>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</si>
  <si>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</si>
  <si>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</si>
  <si>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</si>
  <si>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</si>
  <si>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</si>
  <si>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</si>
  <si>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</si>
  <si>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</si>
  <si>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</si>
  <si>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</si>
  <si>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</si>
  <si>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</si>
  <si>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</si>
  <si>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</si>
  <si>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</si>
  <si>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</si>
  <si>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</si>
  <si>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</si>
  <si>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</si>
  <si>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</si>
  <si>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</si>
  <si>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</si>
  <si>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</si>
  <si>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</si>
  <si>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</si>
  <si>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</si>
  <si>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</si>
  <si>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</si>
  <si>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</si>
  <si>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</si>
  <si>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</si>
  <si>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</si>
  <si>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</si>
  <si>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</si>
  <si>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</si>
  <si>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</si>
  <si>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</si>
  <si>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</si>
  <si>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</si>
  <si>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</si>
  <si>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</si>
  <si>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</si>
  <si>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</si>
  <si>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</si>
  <si>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</si>
  <si>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</si>
  <si>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</si>
  <si>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</si>
  <si>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</si>
  <si>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</si>
  <si>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</si>
  <si>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</si>
  <si>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</si>
  <si>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</si>
  <si>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</si>
  <si>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</si>
  <si>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</si>
  <si>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</si>
  <si>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</si>
  <si>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</si>
  <si>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</si>
  <si>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</si>
  <si>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</si>
  <si>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</si>
  <si>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</si>
  <si>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</si>
  <si>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</si>
  <si>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</si>
  <si>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</si>
  <si>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</si>
  <si>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</si>
  <si>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</si>
  <si>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</si>
  <si>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</si>
  <si>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</si>
  <si>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</si>
  <si>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</si>
  <si>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</si>
  <si>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</si>
  <si>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</si>
  <si>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</si>
  <si>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</si>
  <si>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</si>
  <si>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</si>
  <si>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</si>
  <si>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</si>
  <si>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</si>
  <si>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</si>
  <si>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</si>
  <si>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</si>
  <si>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</si>
  <si>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</si>
  <si>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</si>
  <si>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</si>
  <si>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</si>
  <si>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</si>
  <si>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</si>
  <si>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</si>
  <si>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</si>
  <si>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</si>
  <si>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</si>
  <si>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</si>
  <si>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</si>
  <si>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</si>
  <si>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</si>
  <si>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</si>
  <si>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</si>
  <si>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</si>
  <si>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</si>
  <si>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</si>
  <si>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</si>
  <si>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</si>
  <si>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</si>
  <si>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</si>
  <si>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</si>
  <si>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</si>
  <si>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</si>
  <si>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</si>
  <si>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</si>
  <si>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</si>
  <si>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</si>
  <si>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</si>
  <si>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</si>
  <si>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</si>
  <si>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</si>
  <si>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</si>
  <si>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</si>
  <si>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</si>
  <si>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</si>
  <si>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</si>
  <si>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</si>
  <si>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</si>
  <si>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</si>
  <si>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</si>
  <si>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</si>
  <si>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</si>
  <si>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</si>
  <si>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</si>
  <si>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</si>
  <si>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</si>
  <si>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</si>
  <si>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</si>
  <si>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</si>
  <si>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</si>
  <si>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</si>
  <si>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</si>
  <si>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</si>
  <si>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</si>
  <si>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</si>
  <si>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</si>
  <si>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</si>
  <si>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</si>
  <si>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</si>
  <si>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</si>
  <si>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</si>
  <si>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</si>
  <si>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</si>
  <si>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</si>
  <si>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</si>
  <si>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</si>
  <si>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</si>
  <si>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</si>
  <si>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</si>
  <si>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</si>
  <si>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</si>
  <si>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</si>
  <si>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</si>
  <si>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</si>
  <si>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</si>
  <si>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</si>
  <si>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</si>
  <si>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</si>
  <si>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</si>
  <si>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</si>
  <si>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</si>
  <si>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</si>
  <si>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</si>
  <si>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</si>
  <si>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</si>
  <si>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</si>
  <si>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</si>
  <si>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</si>
  <si>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</si>
  <si>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</si>
  <si>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</si>
  <si>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</si>
  <si>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</si>
  <si>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</si>
  <si>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</si>
  <si>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</si>
  <si>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</si>
  <si>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</si>
  <si>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</si>
  <si>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</si>
  <si>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</si>
  <si>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</si>
  <si>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</si>
  <si>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</si>
  <si>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</si>
  <si>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</si>
  <si>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</si>
  <si>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</si>
  <si>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</si>
  <si>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</si>
  <si>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</si>
  <si>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</si>
  <si>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</si>
  <si>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</si>
  <si>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</si>
  <si>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</si>
  <si>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</si>
  <si>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</si>
  <si>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</si>
  <si>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</si>
  <si>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</si>
  <si>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</si>
  <si>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</si>
  <si>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</si>
  <si>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</si>
  <si>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</si>
  <si>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</si>
  <si>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</si>
  <si>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</si>
  <si>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</si>
  <si>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</si>
  <si>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</si>
  <si>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</si>
  <si>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</si>
  <si>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</si>
  <si>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</si>
  <si>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</si>
  <si>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</si>
  <si>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</si>
  <si>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</si>
  <si>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</si>
  <si>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</si>
  <si>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</si>
  <si>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</si>
  <si>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</si>
  <si>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</si>
  <si>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</si>
  <si>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</si>
  <si>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</si>
  <si>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</si>
  <si>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</si>
  <si>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</si>
  <si>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</si>
  <si>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</si>
  <si>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</si>
  <si>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</si>
  <si>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</si>
  <si>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</si>
  <si>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</si>
  <si>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</si>
  <si>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</si>
  <si>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</si>
  <si>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</si>
  <si>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</si>
  <si>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</si>
  <si>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</si>
  <si>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</si>
  <si>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</si>
  <si>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</si>
  <si>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</si>
  <si>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</si>
  <si>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</si>
  <si>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</si>
  <si>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</si>
  <si>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</si>
  <si>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</si>
  <si>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</si>
  <si>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</si>
  <si>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</si>
  <si>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</si>
  <si>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</si>
  <si>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</si>
  <si>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</si>
  <si>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</si>
  <si>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</si>
  <si>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</si>
  <si>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</si>
  <si>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</si>
  <si>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</si>
  <si>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</si>
  <si>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</si>
  <si>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</si>
  <si>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</si>
  <si>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</si>
  <si>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</si>
  <si>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</si>
  <si>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</si>
  <si>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</si>
  <si>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</si>
  <si>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</si>
  <si>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</si>
  <si>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</si>
  <si>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</si>
  <si>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</si>
  <si>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</si>
  <si>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</si>
  <si>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</si>
  <si>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</si>
  <si>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</si>
  <si>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</si>
  <si>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</si>
  <si>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</si>
  <si>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</si>
  <si>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</si>
  <si>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</si>
  <si>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</si>
  <si>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</si>
  <si>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</si>
  <si>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</si>
  <si>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</si>
  <si>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</si>
  <si>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</si>
  <si>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</si>
  <si>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</si>
  <si>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</si>
  <si>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</si>
  <si>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</si>
  <si>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</si>
  <si>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</si>
  <si>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</si>
  <si>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</si>
  <si>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</si>
  <si>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</si>
  <si>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</si>
  <si>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</si>
  <si>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</si>
  <si>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</si>
  <si>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</si>
  <si>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</si>
  <si>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</si>
  <si>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</si>
  <si>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</si>
  <si>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</si>
  <si>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</si>
  <si>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</si>
  <si>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</si>
  <si>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</si>
  <si>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</si>
  <si>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</si>
  <si>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</si>
  <si>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</si>
  <si>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</si>
  <si>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</si>
  <si>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</si>
  <si>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</si>
  <si>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</si>
  <si>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</si>
  <si>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</si>
  <si>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</si>
  <si>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</si>
  <si>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</si>
  <si>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</si>
  <si>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</si>
  <si>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</si>
  <si>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</si>
  <si>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</si>
  <si>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</si>
  <si>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</si>
  <si>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</si>
  <si>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</si>
  <si>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</si>
  <si>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</si>
  <si>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</si>
  <si>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</si>
  <si>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</si>
  <si>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</si>
  <si>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</si>
  <si>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</si>
  <si>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</si>
  <si>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</si>
  <si>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</si>
  <si>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</si>
  <si>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</si>
  <si>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</si>
  <si>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</si>
  <si>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</si>
  <si>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</si>
  <si>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</si>
  <si>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</si>
  <si>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</si>
  <si>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</si>
  <si>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</si>
  <si>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</si>
  <si>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</si>
  <si>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</si>
  <si>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</si>
  <si>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</si>
  <si>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</si>
  <si>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</si>
  <si>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</si>
  <si>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</si>
  <si>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</si>
  <si>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</si>
  <si>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</si>
  <si>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</si>
  <si>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</si>
  <si>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</si>
  <si>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</si>
  <si>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</si>
  <si>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</si>
  <si>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</si>
  <si>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</si>
  <si>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</si>
  <si>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</si>
  <si>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</si>
  <si>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</si>
  <si>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</si>
  <si>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</si>
  <si>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</si>
  <si>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</si>
  <si>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</si>
  <si>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</si>
  <si>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</si>
  <si>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</si>
  <si>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</si>
  <si>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</si>
  <si>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</si>
  <si>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</si>
  <si>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</si>
  <si>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</si>
  <si>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</si>
  <si>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</si>
  <si>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</si>
  <si>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</si>
  <si>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</si>
  <si>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</si>
  <si>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</si>
  <si>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</si>
  <si>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</si>
  <si>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</si>
  <si>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</si>
  <si>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</si>
  <si>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</si>
  <si>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</si>
  <si>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</si>
  <si>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</si>
  <si>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</si>
  <si>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</si>
  <si>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</si>
  <si>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</si>
  <si>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</si>
  <si>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</si>
  <si>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</si>
  <si>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</si>
  <si>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</si>
  <si>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</si>
  <si>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</si>
  <si>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</si>
  <si>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</si>
  <si>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</si>
  <si>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</si>
  <si>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</si>
  <si>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</si>
  <si>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</si>
  <si>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</si>
  <si>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</si>
  <si>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</si>
  <si>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</si>
  <si>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</si>
  <si>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</si>
  <si>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</si>
  <si>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</si>
  <si>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</si>
  <si>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</si>
  <si>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</si>
  <si>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</si>
  <si>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</si>
  <si>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</si>
  <si>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</si>
  <si>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</si>
  <si>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</si>
  <si>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</si>
  <si>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</si>
  <si>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</si>
  <si>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</si>
  <si>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</si>
  <si>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</si>
  <si>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</si>
  <si>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</si>
  <si>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</si>
  <si>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</si>
  <si>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</si>
  <si>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</si>
  <si>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</si>
  <si>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</si>
  <si>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</si>
  <si>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</si>
  <si>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</si>
  <si>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</si>
  <si>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</si>
  <si>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</si>
  <si>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</si>
  <si>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</si>
  <si>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</si>
  <si>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</si>
  <si>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</si>
  <si>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</si>
  <si>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</si>
  <si>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</si>
  <si>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</si>
  <si>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</si>
  <si>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</si>
  <si>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</si>
  <si>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</si>
  <si>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</si>
  <si>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</si>
  <si>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</si>
  <si>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</si>
  <si>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</si>
  <si>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</si>
  <si>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</si>
  <si>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</si>
  <si>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</si>
  <si>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</si>
  <si>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</si>
  <si>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</si>
  <si>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</si>
  <si>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</si>
  <si>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</si>
  <si>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</si>
  <si>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</si>
  <si>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</si>
  <si>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</si>
  <si>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</si>
  <si>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</si>
  <si>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</si>
  <si>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</si>
  <si>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</si>
  <si>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</si>
  <si>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</si>
  <si>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</si>
  <si>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</si>
  <si>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</si>
  <si>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</si>
  <si>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</si>
  <si>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</si>
  <si>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</si>
  <si>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</si>
  <si>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</si>
  <si>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</si>
  <si>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</si>
  <si>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</si>
  <si>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</si>
  <si>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</si>
  <si>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</si>
  <si>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</si>
  <si>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</si>
  <si>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</si>
  <si>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</si>
  <si>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</si>
  <si>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</si>
  <si>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</si>
  <si>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</si>
  <si>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</si>
  <si>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</si>
  <si>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</si>
  <si>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</si>
  <si>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</si>
  <si>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</si>
  <si>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</si>
  <si>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</si>
  <si>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</si>
  <si>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</si>
  <si>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</si>
  <si>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</si>
  <si>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</si>
  <si>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</si>
  <si>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</si>
  <si>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</si>
  <si>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</si>
  <si>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</si>
  <si>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</si>
  <si>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</si>
  <si>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</si>
  <si>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</si>
  <si>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</si>
  <si>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</si>
  <si>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</si>
  <si>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</si>
  <si>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</si>
  <si>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</si>
  <si>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</si>
  <si>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</si>
  <si>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</si>
  <si>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</si>
  <si>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</si>
  <si>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</si>
  <si>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</si>
  <si>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</si>
  <si>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</si>
  <si>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</si>
  <si>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</si>
  <si>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</si>
  <si>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</si>
  <si>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</si>
  <si>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</si>
  <si>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</si>
  <si>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</si>
  <si>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</si>
  <si>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</si>
  <si>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</si>
  <si>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</si>
  <si>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</si>
  <si>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</si>
  <si>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</si>
  <si>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</si>
  <si>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</si>
  <si>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</si>
  <si>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</si>
  <si>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</si>
  <si>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</si>
  <si>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</si>
  <si>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</si>
  <si>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</si>
  <si>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</si>
  <si>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</si>
  <si>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</si>
  <si>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</si>
  <si>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</si>
  <si>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</si>
  <si>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</si>
  <si>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</si>
  <si>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</si>
  <si>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</si>
  <si>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</si>
  <si>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</si>
  <si>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</si>
  <si>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</si>
  <si>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</si>
  <si>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</si>
  <si>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</si>
  <si>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</si>
  <si>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</si>
  <si>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</si>
  <si>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</si>
  <si>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</si>
  <si>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</si>
  <si>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</si>
  <si>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</si>
  <si>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</si>
  <si>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</si>
  <si>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</si>
  <si>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</si>
  <si>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</si>
  <si>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</si>
  <si>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</si>
  <si>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</si>
  <si>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</si>
  <si>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</si>
  <si>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</si>
  <si>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</si>
  <si>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</si>
  <si>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</si>
  <si>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</si>
  <si>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</si>
  <si>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</si>
  <si>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</si>
  <si>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</si>
  <si>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</si>
  <si>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</si>
  <si>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</si>
  <si>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</si>
  <si>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</si>
  <si>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</si>
  <si>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</si>
  <si>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</si>
  <si>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</si>
  <si>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</si>
  <si>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</si>
  <si>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</si>
  <si>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</si>
  <si>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</si>
  <si>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</si>
  <si>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</si>
  <si>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</si>
  <si>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</si>
  <si>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</si>
  <si>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</si>
  <si>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</si>
  <si>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</si>
  <si>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</si>
  <si>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</si>
  <si>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</si>
  <si>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</si>
  <si>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</si>
  <si>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</si>
  <si>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</si>
  <si>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</si>
  <si>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</si>
  <si>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</si>
  <si>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</si>
  <si>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</si>
  <si>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</si>
  <si>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</si>
  <si>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</si>
  <si>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</si>
  <si>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</si>
  <si>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</si>
  <si>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</si>
  <si>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</si>
  <si>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</si>
  <si>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</si>
  <si>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</si>
  <si>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</si>
  <si>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</si>
  <si>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</si>
  <si>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</si>
  <si>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</si>
  <si>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</si>
  <si>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</si>
  <si>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</si>
  <si>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</si>
  <si>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</si>
  <si>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</si>
  <si>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</si>
  <si>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</si>
  <si>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</si>
  <si>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</si>
  <si>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</si>
  <si>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</si>
  <si>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</si>
  <si>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</si>
  <si>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</si>
  <si>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</si>
  <si>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</si>
  <si>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</si>
  <si>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</si>
  <si>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</si>
  <si>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</si>
  <si>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</si>
  <si>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</si>
  <si>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</si>
  <si>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</si>
  <si>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</si>
  <si>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</si>
  <si>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</si>
  <si>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</si>
  <si>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</si>
  <si>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</si>
  <si>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</si>
  <si>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</si>
  <si>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</si>
  <si>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</si>
  <si>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</si>
  <si>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</si>
  <si>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</si>
  <si>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</si>
  <si>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</si>
  <si>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</si>
  <si>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</si>
  <si>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</si>
  <si>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</si>
  <si>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</si>
  <si>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</si>
  <si>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</si>
  <si>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</si>
  <si>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</si>
  <si>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</si>
  <si>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</si>
  <si>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</si>
  <si>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</si>
  <si>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</si>
  <si>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</si>
  <si>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</si>
  <si>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</si>
  <si>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</si>
  <si>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</si>
  <si>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</si>
  <si>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</si>
  <si>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</si>
  <si>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</si>
  <si>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</si>
  <si>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</si>
  <si>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</si>
  <si>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</si>
  <si>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</si>
  <si>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</si>
  <si>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</si>
  <si>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</si>
  <si>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</si>
  <si>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</si>
  <si>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</si>
  <si>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</si>
  <si>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</si>
  <si>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</si>
  <si>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</si>
  <si>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</si>
  <si>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</si>
  <si>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</si>
  <si>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</si>
  <si>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</si>
  <si>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</si>
  <si>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</si>
  <si>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</si>
  <si>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</si>
  <si>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</si>
  <si>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</si>
  <si>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</si>
  <si>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</si>
  <si>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</si>
  <si>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</si>
  <si>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</si>
  <si>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</si>
  <si>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</si>
  <si>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</si>
  <si>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</si>
  <si>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</si>
  <si>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</si>
  <si>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</si>
  <si>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</si>
  <si>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</si>
  <si>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</si>
  <si>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</si>
  <si>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</si>
  <si>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</si>
  <si>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</si>
  <si>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</si>
  <si>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</si>
  <si>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</si>
  <si>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</si>
  <si>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</si>
  <si>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</si>
  <si>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</si>
  <si>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</si>
  <si>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</si>
  <si>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</si>
  <si>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</si>
  <si>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</si>
  <si>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</si>
  <si>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</si>
  <si>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</si>
  <si>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</si>
  <si>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</si>
  <si>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</si>
  <si>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</si>
  <si>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</si>
  <si>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</si>
  <si>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</si>
  <si>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</si>
  <si>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</si>
  <si>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</si>
  <si>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</si>
  <si>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</si>
  <si>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</si>
  <si>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</si>
  <si>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</si>
  <si>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</si>
  <si>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</si>
  <si>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</si>
  <si>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</si>
  <si>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</si>
  <si>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</si>
  <si>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</si>
  <si>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</si>
  <si>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</si>
  <si>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</si>
  <si>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</si>
  <si>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</si>
  <si>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</si>
  <si>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</si>
  <si>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</si>
  <si>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</si>
  <si>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</si>
  <si>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</si>
  <si>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</si>
  <si>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</si>
  <si>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</si>
  <si>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</si>
  <si>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</si>
  <si>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</si>
  <si>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</si>
  <si>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</si>
  <si>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</si>
  <si>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</si>
  <si>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</si>
  <si>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</si>
  <si>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</si>
  <si>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</si>
  <si>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</si>
  <si>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</si>
  <si>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</si>
  <si>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</si>
  <si>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</si>
  <si>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</si>
  <si>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</si>
  <si>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</si>
  <si>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</si>
  <si>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</si>
  <si>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</si>
  <si>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</si>
  <si>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</si>
  <si>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</si>
  <si>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</si>
  <si>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</si>
  <si>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</si>
  <si>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</si>
  <si>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</si>
  <si>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</si>
  <si>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</si>
  <si>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</si>
  <si>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</si>
  <si>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</si>
  <si>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</si>
  <si>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</si>
  <si>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</si>
  <si>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</si>
  <si>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</si>
  <si>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</si>
  <si>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</si>
  <si>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</si>
  <si>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</si>
  <si>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</si>
  <si>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</si>
  <si>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</si>
  <si>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</si>
  <si>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</si>
  <si>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</si>
  <si>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</si>
  <si>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</si>
  <si>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</si>
  <si>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</si>
  <si>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</si>
  <si>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</si>
  <si>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</si>
  <si>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</si>
  <si>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</si>
  <si>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</si>
  <si>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</si>
  <si>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</si>
  <si>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</si>
  <si>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</si>
  <si>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</si>
  <si>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</si>
  <si>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</si>
  <si>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</si>
  <si>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</si>
  <si>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</si>
  <si>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</si>
  <si>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</si>
  <si>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</si>
  <si>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</si>
  <si>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</si>
  <si>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</si>
  <si>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</si>
  <si>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</si>
  <si>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</si>
  <si>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</si>
  <si>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</si>
  <si>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</si>
  <si>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</si>
  <si>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</si>
  <si>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</si>
  <si>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</si>
  <si>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</si>
  <si>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</si>
  <si>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</si>
  <si>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</si>
  <si>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</si>
  <si>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</si>
  <si>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</si>
  <si>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</si>
  <si>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</si>
  <si>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</si>
  <si>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</si>
  <si>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</si>
  <si>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</si>
  <si>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</si>
  <si>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</si>
  <si>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</si>
  <si>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</si>
  <si>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</si>
  <si>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</si>
  <si>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</si>
  <si>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</si>
  <si>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</si>
  <si>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</si>
  <si>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</si>
  <si>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</si>
  <si>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</si>
  <si>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</si>
  <si>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</si>
  <si>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</si>
  <si>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</si>
  <si>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</si>
  <si>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</si>
  <si>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</si>
  <si>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</si>
  <si>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</si>
  <si>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</si>
  <si>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</si>
  <si>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</si>
  <si>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</si>
  <si>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</si>
  <si>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</si>
  <si>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</si>
  <si>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</si>
  <si>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</si>
  <si>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</si>
  <si>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</si>
  <si>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</si>
  <si>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</si>
  <si>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</si>
  <si>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</si>
  <si>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</si>
  <si>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</si>
  <si>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</si>
  <si>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</si>
  <si>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</si>
  <si>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</si>
  <si>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</si>
  <si>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</si>
  <si>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</si>
  <si>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</si>
  <si>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</si>
  <si>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</si>
  <si>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</si>
  <si>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</si>
  <si>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</si>
  <si>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</si>
  <si>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</si>
  <si>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</si>
  <si>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</si>
  <si>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</si>
  <si>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</si>
  <si>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</si>
  <si>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</si>
  <si>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</si>
  <si>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</si>
  <si>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</si>
  <si>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</si>
  <si>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</si>
  <si>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</si>
  <si>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</si>
  <si>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</si>
  <si>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</si>
  <si>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</si>
  <si>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</si>
  <si>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</si>
  <si>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</si>
  <si>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</si>
  <si>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</si>
  <si>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</si>
  <si>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</si>
  <si>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</si>
  <si>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</si>
  <si>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</si>
  <si>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</si>
  <si>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</si>
  <si>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</si>
  <si>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</si>
  <si>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</si>
  <si>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</si>
  <si>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</si>
  <si>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</si>
  <si>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</si>
  <si>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</si>
  <si>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</si>
  <si>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</si>
  <si>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</si>
  <si>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</si>
  <si>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</si>
  <si>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</si>
  <si>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</si>
  <si>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</si>
  <si>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</si>
  <si>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</si>
  <si>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</si>
  <si>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</si>
  <si>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</si>
  <si>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</si>
  <si>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</si>
  <si>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</si>
  <si>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</si>
  <si>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</si>
  <si>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</si>
  <si>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</si>
  <si>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</si>
  <si>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</si>
  <si>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</si>
  <si>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</si>
  <si>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</si>
  <si>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</si>
  <si>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</si>
  <si>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</si>
  <si>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</si>
  <si>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</si>
  <si>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</si>
  <si>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</si>
  <si>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</si>
  <si>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</si>
  <si>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</si>
  <si>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</si>
  <si>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</si>
  <si>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</si>
  <si>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</si>
  <si>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</si>
  <si>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</si>
  <si>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</si>
  <si>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</si>
  <si>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</si>
  <si>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</si>
  <si>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</si>
  <si>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</si>
  <si>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</si>
  <si>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</si>
  <si>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</si>
  <si>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</si>
  <si>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</si>
  <si>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</si>
  <si>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</si>
  <si>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</si>
  <si>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</si>
  <si>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</si>
  <si>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</si>
  <si>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</si>
  <si>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</si>
  <si>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</si>
  <si>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</si>
  <si>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</si>
  <si>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</si>
  <si>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</si>
  <si>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</si>
  <si>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</si>
  <si>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</si>
  <si>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</si>
  <si>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</si>
  <si>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</si>
  <si>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</si>
  <si>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</si>
  <si>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</si>
  <si>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</si>
  <si>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</si>
  <si>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</si>
  <si>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</si>
  <si>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</si>
  <si>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</si>
  <si>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</si>
  <si>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</si>
  <si>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</si>
  <si>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</si>
  <si>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</si>
  <si>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</si>
  <si>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</si>
  <si>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</si>
  <si>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</si>
  <si>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</si>
  <si>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</si>
  <si>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</si>
  <si>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</si>
  <si>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</si>
  <si>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</si>
  <si>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</si>
  <si>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</si>
  <si>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</si>
  <si>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</si>
  <si>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</si>
  <si>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</si>
  <si>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</si>
  <si>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</si>
  <si>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</si>
  <si>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</si>
  <si>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</si>
  <si>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</si>
  <si>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</si>
  <si>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</si>
  <si>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</si>
  <si>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</si>
  <si>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</si>
  <si>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</si>
  <si>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</si>
  <si>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</si>
  <si>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</si>
  <si>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</si>
  <si>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</si>
  <si>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</si>
  <si>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</si>
  <si>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</si>
  <si>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</si>
  <si>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</si>
  <si>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</si>
  <si>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</si>
  <si>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</si>
  <si>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</si>
  <si>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</si>
  <si>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</si>
  <si>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</si>
  <si>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</si>
  <si>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</si>
  <si>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</si>
  <si>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</si>
  <si>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</si>
  <si>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</si>
  <si>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</si>
  <si>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</si>
  <si>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</si>
  <si>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</si>
  <si>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</si>
  <si>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</si>
  <si>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</si>
  <si>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</si>
  <si>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</si>
  <si>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</si>
  <si>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</si>
  <si>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</si>
  <si>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</si>
  <si>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</si>
  <si>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</si>
  <si>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</si>
  <si>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</si>
  <si>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</si>
  <si>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</si>
  <si>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</si>
  <si>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</si>
  <si>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</si>
  <si>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</si>
  <si>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</si>
  <si>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</si>
  <si>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</si>
  <si>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</si>
  <si>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</si>
  <si>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</si>
  <si>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</si>
  <si>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</si>
  <si>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</si>
  <si>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</si>
  <si>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</si>
  <si>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</si>
  <si>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</si>
  <si>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</si>
  <si>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</si>
  <si>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</si>
  <si>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</si>
  <si>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</si>
  <si>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</si>
  <si>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</si>
  <si>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</si>
  <si>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</si>
  <si>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</si>
  <si>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</si>
  <si>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</si>
  <si>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</si>
  <si>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</si>
  <si>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</si>
  <si>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</si>
  <si>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</si>
  <si>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</si>
  <si>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</si>
  <si>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</si>
  <si>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</si>
  <si>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</si>
  <si>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</si>
  <si>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</si>
  <si>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</si>
  <si>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</si>
  <si>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</si>
  <si>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</si>
  <si>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</si>
  <si>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</si>
  <si>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</si>
  <si>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</si>
  <si>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</si>
  <si>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</si>
  <si>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</si>
  <si>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</si>
  <si>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</si>
  <si>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</si>
  <si>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</si>
  <si>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</si>
  <si>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</si>
  <si>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</si>
  <si>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</si>
  <si>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</si>
  <si>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</si>
  <si>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</si>
  <si>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</si>
  <si>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</si>
  <si>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</si>
  <si>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</si>
  <si>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</si>
  <si>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</si>
  <si>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</si>
  <si>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</si>
  <si>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</si>
  <si>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</si>
  <si>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</si>
  <si>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</si>
  <si>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</si>
  <si>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</si>
  <si>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</si>
  <si>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</si>
  <si>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</si>
  <si>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</si>
  <si>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</si>
  <si>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</si>
  <si>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</si>
  <si>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</si>
  <si>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</si>
  <si>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</si>
  <si>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</si>
  <si>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</si>
  <si>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</si>
  <si>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</si>
  <si>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</si>
  <si>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</si>
  <si>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</si>
  <si>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</si>
  <si>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</si>
  <si>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</si>
  <si>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</si>
  <si>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</si>
  <si>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</si>
  <si>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</si>
  <si>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</si>
  <si>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</si>
  <si>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</si>
  <si>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</si>
  <si>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</si>
  <si>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</si>
  <si>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</si>
  <si>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</si>
  <si>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</si>
  <si>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</si>
  <si>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</si>
  <si>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</si>
  <si>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</si>
  <si>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</si>
  <si>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</si>
  <si>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</si>
  <si>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</si>
  <si>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</si>
  <si>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</si>
  <si>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</si>
  <si>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</si>
  <si>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</si>
  <si>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</si>
  <si>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</si>
  <si>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</si>
  <si>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</si>
  <si>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</si>
  <si>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</si>
  <si>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</si>
  <si>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</si>
  <si>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</si>
  <si>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</si>
  <si>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</si>
  <si>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</si>
  <si>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</si>
  <si>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</si>
  <si>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</si>
  <si>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</si>
  <si>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</si>
  <si>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</si>
  <si>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</si>
  <si>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</si>
  <si>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</si>
  <si>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</si>
  <si>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</si>
  <si>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</si>
  <si>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</si>
  <si>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</si>
  <si>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</si>
  <si>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</si>
  <si>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</si>
  <si>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</si>
  <si>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</si>
  <si>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</si>
  <si>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</si>
  <si>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</si>
  <si>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</si>
  <si>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</si>
  <si>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</si>
  <si>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</si>
  <si>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</si>
  <si>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</si>
  <si>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</si>
  <si>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</si>
  <si>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</si>
  <si>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</si>
  <si>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</si>
  <si>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</si>
  <si>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</si>
  <si>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</si>
  <si>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</si>
  <si>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</si>
  <si>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</si>
  <si>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</si>
  <si>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</si>
  <si>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</si>
  <si>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</si>
  <si>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</si>
  <si>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</si>
  <si>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</si>
  <si>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</si>
  <si>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</si>
  <si>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</si>
  <si>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</si>
  <si>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</si>
  <si>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</si>
  <si>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</si>
  <si>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</si>
  <si>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</si>
  <si>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</si>
  <si>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</si>
  <si>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</si>
  <si>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</si>
  <si>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</si>
  <si>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</si>
  <si>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</si>
  <si>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</si>
  <si>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</si>
  <si>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</si>
  <si>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</si>
  <si>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</si>
  <si>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</si>
  <si>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</si>
  <si>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</si>
  <si>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</si>
  <si>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</si>
  <si>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</si>
  <si>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</si>
  <si>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</si>
  <si>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</si>
  <si>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</si>
  <si>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</si>
  <si>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</si>
  <si>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</si>
  <si>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</si>
  <si>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</si>
  <si>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</si>
  <si>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</si>
  <si>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</si>
  <si>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</si>
  <si>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</si>
  <si>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</si>
  <si>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</si>
  <si>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</si>
  <si>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</si>
  <si>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</si>
  <si>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</si>
  <si>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</si>
  <si>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</si>
  <si>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</si>
  <si>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</si>
  <si>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</si>
  <si>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</si>
  <si>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</si>
  <si>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</si>
  <si>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</si>
  <si>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</si>
  <si>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</si>
  <si>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</si>
  <si>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</si>
  <si>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</si>
  <si>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</si>
  <si>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</si>
  <si>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</si>
  <si>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</si>
  <si>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</si>
  <si>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</si>
  <si>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</si>
  <si>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</si>
  <si>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</si>
  <si>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</si>
  <si>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</si>
  <si>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</si>
  <si>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</si>
  <si>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</si>
  <si>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</si>
  <si>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</si>
  <si>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</si>
  <si>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</si>
  <si>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</si>
  <si>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</si>
  <si>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</si>
  <si>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</si>
  <si>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</si>
  <si>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</si>
  <si>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</si>
  <si>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</si>
  <si>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</si>
  <si>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</si>
  <si>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</si>
  <si>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</si>
  <si>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</si>
  <si>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</si>
  <si>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</si>
  <si>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</si>
  <si>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</si>
  <si>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</si>
  <si>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</si>
  <si>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</si>
  <si>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</si>
  <si>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</si>
  <si>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</si>
  <si>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</si>
  <si>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</si>
  <si>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</si>
  <si>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</si>
  <si>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</si>
  <si>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</si>
  <si>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</si>
  <si>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</si>
  <si>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</si>
  <si>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</si>
  <si>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</si>
  <si>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</si>
  <si>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</si>
  <si>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</si>
  <si>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</si>
  <si>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</si>
  <si>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</si>
  <si>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</si>
  <si>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</si>
  <si>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</si>
  <si>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</si>
  <si>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</si>
  <si>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</si>
  <si>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</si>
  <si>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</si>
  <si>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</si>
  <si>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</si>
  <si>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</si>
  <si>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</si>
  <si>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</si>
  <si>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</si>
  <si>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</si>
  <si>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</si>
  <si>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</si>
  <si>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</si>
  <si>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</si>
  <si>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</si>
  <si>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</si>
  <si>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</si>
  <si>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</si>
  <si>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</si>
  <si>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</si>
  <si>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</si>
  <si>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</si>
  <si>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</si>
  <si>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</si>
  <si>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</si>
  <si>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</si>
  <si>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</si>
  <si>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</si>
  <si>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</si>
  <si>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</si>
  <si>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</si>
  <si>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</si>
  <si>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</si>
  <si>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</si>
  <si>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</si>
  <si>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</si>
  <si>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</si>
  <si>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</si>
  <si>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</si>
  <si>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</si>
  <si>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</si>
  <si>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</si>
  <si>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</si>
  <si>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</si>
  <si>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</si>
  <si>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</si>
  <si>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</si>
  <si>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</si>
  <si>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</si>
  <si>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</si>
  <si>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</si>
  <si>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</si>
  <si>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</si>
  <si>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</si>
  <si>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</si>
  <si>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</si>
  <si>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</si>
  <si>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</si>
  <si>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</si>
  <si>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</si>
  <si>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</si>
  <si>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</si>
  <si>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</si>
  <si>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</si>
  <si>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</si>
  <si>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</si>
  <si>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</si>
  <si>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</si>
  <si>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</si>
  <si>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</si>
  <si>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</si>
  <si>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</si>
  <si>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</si>
  <si>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</si>
  <si>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</si>
  <si>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</si>
  <si>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</si>
  <si>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</si>
  <si>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</si>
  <si>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</si>
  <si>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</si>
  <si>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</si>
  <si>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</si>
  <si>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</si>
  <si>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</si>
  <si>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</si>
  <si>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</si>
  <si>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</si>
  <si>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</si>
  <si>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</si>
  <si>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</si>
  <si>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</si>
  <si>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</si>
  <si>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</si>
  <si>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</si>
  <si>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</si>
  <si>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</si>
  <si>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</si>
  <si>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</si>
  <si>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</si>
  <si>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</si>
  <si>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</si>
  <si>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</si>
  <si>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</si>
  <si>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</si>
  <si>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</si>
  <si>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</si>
  <si>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</si>
  <si>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</si>
  <si>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</si>
  <si>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</si>
  <si>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</si>
  <si>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</si>
  <si>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</si>
  <si>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</si>
  <si>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</si>
  <si>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</si>
  <si>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</si>
  <si>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</si>
  <si>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</si>
  <si>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</si>
  <si>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</si>
  <si>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</si>
  <si>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</si>
  <si>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</si>
  <si>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</si>
  <si>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</si>
  <si>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</si>
  <si>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</si>
  <si>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</si>
  <si>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</si>
  <si>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</si>
  <si>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</si>
  <si>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</si>
  <si>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</si>
  <si>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</si>
  <si>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</si>
  <si>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</si>
  <si>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</si>
  <si>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</si>
  <si>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</si>
  <si>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</si>
  <si>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</si>
  <si>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</si>
  <si>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</si>
  <si>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</si>
  <si>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</si>
  <si>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</si>
  <si>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</si>
  <si>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</si>
  <si>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</si>
  <si>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</si>
  <si>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</si>
  <si>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</si>
  <si>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</si>
  <si>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</si>
  <si>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</si>
  <si>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</si>
  <si>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</si>
  <si>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</si>
  <si>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</si>
  <si>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</si>
  <si>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</si>
  <si>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</si>
  <si>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</si>
  <si>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</si>
  <si>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</si>
  <si>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</si>
  <si>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</si>
  <si>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</si>
  <si>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</si>
  <si>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</si>
  <si>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</si>
  <si>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</si>
  <si>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</si>
  <si>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</si>
  <si>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</si>
  <si>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</si>
  <si>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</si>
  <si>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</si>
  <si>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</si>
  <si>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</si>
  <si>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</si>
  <si>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</si>
  <si>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</si>
  <si>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</si>
  <si>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</si>
  <si>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</si>
  <si>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</si>
  <si>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</si>
  <si>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</si>
  <si>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</si>
  <si>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</si>
  <si>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</si>
  <si>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</si>
  <si>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</si>
  <si>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</si>
  <si>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</si>
  <si>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</si>
  <si>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</si>
  <si>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</si>
  <si>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</si>
  <si>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</si>
  <si>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</si>
  <si>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</si>
  <si>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</si>
  <si>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</si>
  <si>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</si>
  <si>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</si>
  <si>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</si>
  <si>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</si>
  <si>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</si>
  <si>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</si>
  <si>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</si>
  <si>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</si>
  <si>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</si>
  <si>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</si>
  <si>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</si>
  <si>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</si>
  <si>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</si>
  <si>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</si>
  <si>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</si>
  <si>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</si>
  <si>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</si>
  <si>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</si>
  <si>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</si>
  <si>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</si>
  <si>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</si>
  <si>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</si>
  <si>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</si>
  <si>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</si>
  <si>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</si>
  <si>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</si>
  <si>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</si>
  <si>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</si>
  <si>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</si>
  <si>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</si>
  <si>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</si>
  <si>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</si>
  <si>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</si>
  <si>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</si>
  <si>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</si>
  <si>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</si>
  <si>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</si>
  <si>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</si>
  <si>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</si>
  <si>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</si>
  <si>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</si>
  <si>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</si>
  <si>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</si>
  <si>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</si>
  <si>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</si>
  <si>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</si>
  <si>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</si>
  <si>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</si>
  <si>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</si>
  <si>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</si>
  <si>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</si>
  <si>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</si>
  <si>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</si>
  <si>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</si>
  <si>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</si>
  <si>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</si>
  <si>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</si>
  <si>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</si>
  <si>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</si>
  <si>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</si>
  <si>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</si>
  <si>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</si>
  <si>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</si>
  <si>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</si>
  <si>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</si>
  <si>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</si>
  <si>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</si>
  <si>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</si>
  <si>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</si>
  <si>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</si>
  <si>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</si>
  <si>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</si>
  <si>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</si>
  <si>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</si>
  <si>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</si>
  <si>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</si>
  <si>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</si>
  <si>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</si>
  <si>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</si>
  <si>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</si>
  <si>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</si>
  <si>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</si>
  <si>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</si>
  <si>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</si>
  <si>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</si>
  <si>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</si>
  <si>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</si>
  <si>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</si>
  <si>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</si>
  <si>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</si>
  <si>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</si>
  <si>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</si>
  <si>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</si>
  <si>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</si>
  <si>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</si>
  <si>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</si>
  <si>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</si>
  <si>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</si>
  <si>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</si>
  <si>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</si>
  <si>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</si>
  <si>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</si>
  <si>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</si>
  <si>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</si>
  <si>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</si>
  <si>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</si>
  <si>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</si>
  <si>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</si>
  <si>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</si>
  <si>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</si>
  <si>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</si>
  <si>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</si>
  <si>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</si>
  <si>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</si>
  <si>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</si>
  <si>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</si>
  <si>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</si>
  <si>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</si>
  <si>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</si>
  <si>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</si>
  <si>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</si>
  <si>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</si>
  <si>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</si>
  <si>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</si>
  <si>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</si>
  <si>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</si>
  <si>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</si>
  <si>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</si>
  <si>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</si>
  <si>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</si>
  <si>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</si>
  <si>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</si>
  <si>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</si>
  <si>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</si>
  <si>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</si>
  <si>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</si>
  <si>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</si>
  <si>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</si>
  <si>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</si>
  <si>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</si>
  <si>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</si>
  <si>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</si>
  <si>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</si>
  <si>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</si>
  <si>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</si>
  <si>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</si>
  <si>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</si>
  <si>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</si>
  <si>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</si>
  <si>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</si>
  <si>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</si>
  <si>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</si>
  <si>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</si>
  <si>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</si>
  <si>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</si>
  <si>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</si>
  <si>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</si>
  <si>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</si>
  <si>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</si>
  <si>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</si>
  <si>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</si>
  <si>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</si>
  <si>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</si>
  <si>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</si>
  <si>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</si>
  <si>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</si>
  <si>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</si>
  <si>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</si>
  <si>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</si>
  <si>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</si>
  <si>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</si>
  <si>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</si>
  <si>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</si>
  <si>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</si>
  <si>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</si>
  <si>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</si>
  <si>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</si>
  <si>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</si>
  <si>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</si>
  <si>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</si>
  <si>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</si>
  <si>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</si>
  <si>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</si>
  <si>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</si>
  <si>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</si>
  <si>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</si>
  <si>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</si>
  <si>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</si>
  <si>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</si>
  <si>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</si>
  <si>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</si>
  <si>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</si>
  <si>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</si>
  <si>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</si>
  <si>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</si>
  <si>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</si>
  <si>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</si>
  <si>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</si>
  <si>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</si>
  <si>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</si>
  <si>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</si>
  <si>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</si>
  <si>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</si>
  <si>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</si>
  <si>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</si>
  <si>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</si>
  <si>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</si>
  <si>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</si>
  <si>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</si>
  <si>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</si>
  <si>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</si>
  <si>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</si>
  <si>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</si>
  <si>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</si>
  <si>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</si>
  <si>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</si>
  <si>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</si>
  <si>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</si>
  <si>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</si>
  <si>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</si>
  <si>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</si>
  <si>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</si>
  <si>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</si>
  <si>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</si>
  <si>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</si>
  <si>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</si>
  <si>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</si>
  <si>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</si>
  <si>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</si>
  <si>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</si>
  <si>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</si>
  <si>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</si>
  <si>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</si>
  <si>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</si>
  <si>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</si>
  <si>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</si>
  <si>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</si>
  <si>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</si>
  <si>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</si>
  <si>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</si>
  <si>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</si>
  <si>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</si>
  <si>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</si>
  <si>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</si>
  <si>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</si>
  <si>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</si>
  <si>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</si>
  <si>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</si>
  <si>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</si>
  <si>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</si>
  <si>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</si>
  <si>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</si>
  <si>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</si>
  <si>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</si>
  <si>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</si>
  <si>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</si>
  <si>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</si>
  <si>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</si>
  <si>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</si>
  <si>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</si>
  <si>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</si>
  <si>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</si>
  <si>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</si>
  <si>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</si>
  <si>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</si>
  <si>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</si>
  <si>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</si>
  <si>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</si>
  <si>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</si>
  <si>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</si>
  <si>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</si>
  <si>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</si>
  <si>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</si>
  <si>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</si>
  <si>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</si>
  <si>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</si>
  <si>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</si>
  <si>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</si>
  <si>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</si>
  <si>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</si>
  <si>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</si>
  <si>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</si>
  <si>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</si>
  <si>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</si>
  <si>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</si>
  <si>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</si>
  <si>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</si>
  <si>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</si>
  <si>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</si>
  <si>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</si>
  <si>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</si>
  <si>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</si>
  <si>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</si>
  <si>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</si>
  <si>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</si>
  <si>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</si>
  <si>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</si>
  <si>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</si>
  <si>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</si>
  <si>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</si>
  <si>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</si>
  <si>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</si>
  <si>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</si>
  <si>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</si>
  <si>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</si>
  <si>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</si>
  <si>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</si>
  <si>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</si>
  <si>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</si>
  <si>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</si>
  <si>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</si>
  <si>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</si>
  <si>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</si>
  <si>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</si>
  <si>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</si>
  <si>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</si>
  <si>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</si>
  <si>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</si>
  <si>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</si>
  <si>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</si>
  <si>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</si>
  <si>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</si>
  <si>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</si>
  <si>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</si>
  <si>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</si>
  <si>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</si>
  <si>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</si>
  <si>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</si>
  <si>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</si>
  <si>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</si>
  <si>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</si>
  <si>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</si>
  <si>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</si>
  <si>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</si>
  <si>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</si>
  <si>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</si>
  <si>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</si>
  <si>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</si>
  <si>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</si>
  <si>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</si>
  <si>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</si>
  <si>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</si>
  <si>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</si>
  <si>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</si>
  <si>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</si>
  <si>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</si>
  <si>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</si>
  <si>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</si>
  <si>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</si>
  <si>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</si>
  <si>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</si>
  <si>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</si>
  <si>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</si>
  <si>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</si>
  <si>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</si>
  <si>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</si>
  <si>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</si>
  <si>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</si>
  <si>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</si>
  <si>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</si>
  <si>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</si>
  <si>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</si>
  <si>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</si>
  <si>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</si>
  <si>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</si>
  <si>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</si>
  <si>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</si>
  <si>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</si>
  <si>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</si>
  <si>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</si>
  <si>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</si>
  <si>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</si>
  <si>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</si>
  <si>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</si>
  <si>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</si>
  <si>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</si>
  <si>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</si>
  <si>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</si>
  <si>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</si>
  <si>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</si>
  <si>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</si>
  <si>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</si>
  <si>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</si>
  <si>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</si>
  <si>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</si>
  <si>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</si>
  <si>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</si>
  <si>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</si>
  <si>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</si>
  <si>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</si>
  <si>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</si>
  <si>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</si>
  <si>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</si>
  <si>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</si>
  <si>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</si>
  <si>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</si>
  <si>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</si>
  <si>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</si>
  <si>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</si>
  <si>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</si>
  <si>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</si>
  <si>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</si>
  <si>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</si>
  <si>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</si>
  <si>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</si>
  <si>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</si>
  <si>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</si>
  <si>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</si>
  <si>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</si>
  <si>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</si>
  <si>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</si>
  <si>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</si>
  <si>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</si>
  <si>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</si>
  <si>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</si>
  <si>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</si>
  <si>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</si>
  <si>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</si>
  <si>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</si>
  <si>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</si>
  <si>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</si>
  <si>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</si>
  <si>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</si>
  <si>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</si>
  <si>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</si>
  <si>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</si>
  <si>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</si>
  <si>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</si>
  <si>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</si>
  <si>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</si>
  <si>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</si>
  <si>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</si>
  <si>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</si>
  <si>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</si>
  <si>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</si>
  <si>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</si>
  <si>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</si>
  <si>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</si>
  <si>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</si>
  <si>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</si>
  <si>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</si>
  <si>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</si>
  <si>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</si>
  <si>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</si>
  <si>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</si>
  <si>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</si>
  <si>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</si>
  <si>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</si>
  <si>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</si>
  <si>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</si>
  <si>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</si>
  <si>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</si>
  <si>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</si>
  <si>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</si>
  <si>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</si>
  <si>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</si>
  <si>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</si>
  <si>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</si>
  <si>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</si>
  <si>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</si>
  <si>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</si>
  <si>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</si>
  <si>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</si>
  <si>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</si>
  <si>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</si>
  <si>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</si>
  <si>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</si>
  <si>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</si>
  <si>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</si>
  <si>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</si>
  <si>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</si>
  <si>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</si>
  <si>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</si>
  <si>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</si>
  <si>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</si>
  <si>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</si>
  <si>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</si>
  <si>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</si>
  <si>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</si>
  <si>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</si>
  <si>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</si>
  <si>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</si>
  <si>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</si>
  <si>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</si>
  <si>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</si>
  <si>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</si>
  <si>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</si>
  <si>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</si>
  <si>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</si>
  <si>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</si>
  <si>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</si>
  <si>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</si>
  <si>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</si>
  <si>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</si>
  <si>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</si>
  <si>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</si>
  <si>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</si>
  <si>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</si>
  <si>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</si>
  <si>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</si>
  <si>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</si>
  <si>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</si>
  <si>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</si>
  <si>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</si>
  <si>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</si>
  <si>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</si>
  <si>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</si>
  <si>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</si>
  <si>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</si>
  <si>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</si>
  <si>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</si>
  <si>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</si>
  <si>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</si>
  <si>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</si>
  <si>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</si>
  <si>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</si>
  <si>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</si>
  <si>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</si>
  <si>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</si>
  <si>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</si>
  <si>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</si>
  <si>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</si>
  <si>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</si>
  <si>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</si>
  <si>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</si>
  <si>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</si>
  <si>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</si>
  <si>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</si>
  <si>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</si>
  <si>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</si>
  <si>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</si>
  <si>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</si>
  <si>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</si>
  <si>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</si>
  <si>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</si>
  <si>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</si>
  <si>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</si>
  <si>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</si>
  <si>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</si>
  <si>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</si>
  <si>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</si>
  <si>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</si>
  <si>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</si>
  <si>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</si>
  <si>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</si>
  <si>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</si>
  <si>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</si>
  <si>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</si>
  <si>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</si>
  <si>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</si>
  <si>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</si>
  <si>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</si>
  <si>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</si>
  <si>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</si>
  <si>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</si>
  <si>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</si>
  <si>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</si>
  <si>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</si>
  <si>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</si>
  <si>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</si>
  <si>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</si>
  <si>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</si>
  <si>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</si>
  <si>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</si>
  <si>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</si>
  <si>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</si>
  <si>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</si>
  <si>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</si>
  <si>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</si>
  <si>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</si>
  <si>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</si>
  <si>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</si>
  <si>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</si>
  <si>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</si>
  <si>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</si>
  <si>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</si>
  <si>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</si>
  <si>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</si>
  <si>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</si>
  <si>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</si>
  <si>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</si>
  <si>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</si>
  <si>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</si>
  <si>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</si>
  <si>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</si>
  <si>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</si>
  <si>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</si>
  <si>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</si>
  <si>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</si>
  <si>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</si>
  <si>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</si>
  <si>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</si>
  <si>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</si>
  <si>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</si>
  <si>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</si>
  <si>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</si>
  <si>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</si>
  <si>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</si>
  <si>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</si>
  <si>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</si>
  <si>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</si>
  <si>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</si>
  <si>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</si>
  <si>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</si>
  <si>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</si>
  <si>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</si>
  <si>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</si>
  <si>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</si>
  <si>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</si>
  <si>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</si>
  <si>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</si>
  <si>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</si>
  <si>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</si>
  <si>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</si>
  <si>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</si>
  <si>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</si>
  <si>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</si>
  <si>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</si>
  <si>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</si>
  <si>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</si>
  <si>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</si>
  <si>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</si>
  <si>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</si>
  <si>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</si>
  <si>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</si>
  <si>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</si>
  <si>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</si>
  <si>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</si>
  <si>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</si>
  <si>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</si>
  <si>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</si>
  <si>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</si>
  <si>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</si>
  <si>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</si>
  <si>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</si>
  <si>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</si>
  <si>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</si>
  <si>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</si>
  <si>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</si>
  <si>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</si>
  <si>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</si>
  <si>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</si>
  <si>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</si>
  <si>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</si>
  <si>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</si>
  <si>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</si>
  <si>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</si>
  <si>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</si>
  <si>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</si>
  <si>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</si>
  <si>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</si>
  <si>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</si>
  <si>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</si>
  <si>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</si>
  <si>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</si>
  <si>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</si>
  <si>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</si>
  <si>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</si>
  <si>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</si>
  <si>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</si>
  <si>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</si>
  <si>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</si>
  <si>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</si>
  <si>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</si>
  <si>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</si>
  <si>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</si>
  <si>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</si>
  <si>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</si>
  <si>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</si>
  <si>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</si>
  <si>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</si>
  <si>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</si>
  <si>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</si>
  <si>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</si>
  <si>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</si>
  <si>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</si>
  <si>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</si>
  <si>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</si>
  <si>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</si>
  <si>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</si>
  <si>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</si>
  <si>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</si>
  <si>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</si>
  <si>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</si>
  <si>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</si>
  <si>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</si>
  <si>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</si>
  <si>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</si>
  <si>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</si>
  <si>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</si>
  <si>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</si>
  <si>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</si>
  <si>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</si>
  <si>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</si>
  <si>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</si>
  <si>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</si>
  <si>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</si>
  <si>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</si>
  <si>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</si>
  <si>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</si>
  <si>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</si>
  <si>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</si>
  <si>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</si>
  <si>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</si>
  <si>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</si>
  <si>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</si>
  <si>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</si>
  <si>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</si>
  <si>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</si>
  <si>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</si>
  <si>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</si>
  <si>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</si>
  <si>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</si>
  <si>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</si>
  <si>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</si>
  <si>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</si>
  <si>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</si>
  <si>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</si>
  <si>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</si>
  <si>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</si>
  <si>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</si>
  <si>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</si>
  <si>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</si>
  <si>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</si>
  <si>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</si>
  <si>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</si>
  <si>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</si>
  <si>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</si>
  <si>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</si>
  <si>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</si>
  <si>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</si>
  <si>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</si>
  <si>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</si>
  <si>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</si>
  <si>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</si>
  <si>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</si>
  <si>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</si>
  <si>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</si>
  <si>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</si>
  <si>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</si>
  <si>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</si>
  <si>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</si>
  <si>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</si>
  <si>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</si>
  <si>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</si>
  <si>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</si>
  <si>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</si>
  <si>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</si>
  <si>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</si>
  <si>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</si>
  <si>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</si>
  <si>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</si>
  <si>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</si>
  <si>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</si>
  <si>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</si>
  <si>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</si>
  <si>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</si>
  <si>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</si>
  <si>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</si>
  <si>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</si>
  <si>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</si>
  <si>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</si>
  <si>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</si>
  <si>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</si>
  <si>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</si>
  <si>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</si>
  <si>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</si>
  <si>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</si>
  <si>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</si>
  <si>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</si>
  <si>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</si>
  <si>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</si>
  <si>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</si>
  <si>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</si>
  <si>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</si>
  <si>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</si>
  <si>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</si>
  <si>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</si>
  <si>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</si>
  <si>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</si>
  <si>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</si>
  <si>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</si>
  <si>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</si>
  <si>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</si>
  <si>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</si>
  <si>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</si>
  <si>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</si>
  <si>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</si>
  <si>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</si>
  <si>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</si>
  <si>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</si>
  <si>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</si>
  <si>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</si>
  <si>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</si>
  <si>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</si>
  <si>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</si>
  <si>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</si>
  <si>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</si>
  <si>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</si>
  <si>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</si>
  <si>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</si>
  <si>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</si>
  <si>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</si>
  <si>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</si>
  <si>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</si>
  <si>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</si>
  <si>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</si>
  <si>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</si>
  <si>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</si>
  <si>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</si>
  <si>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</si>
  <si>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</si>
  <si>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</si>
  <si>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</si>
  <si>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</si>
  <si>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</si>
  <si>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</si>
  <si>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</si>
  <si>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</si>
  <si>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</si>
  <si>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</si>
  <si>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</si>
  <si>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</si>
  <si>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</si>
  <si>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</si>
  <si>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</si>
  <si>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</si>
  <si>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</si>
  <si>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</si>
  <si>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</si>
  <si>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</si>
  <si>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</si>
  <si>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</si>
  <si>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</si>
  <si>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</si>
  <si>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</si>
  <si>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</si>
  <si>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</si>
  <si>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</si>
  <si>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</si>
  <si>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</si>
  <si>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</si>
  <si>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</si>
  <si>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</si>
  <si>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</si>
  <si>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</si>
  <si>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</si>
  <si>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</si>
  <si>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</si>
  <si>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</si>
  <si>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</si>
  <si>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</si>
  <si>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</si>
  <si>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</si>
  <si>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</si>
  <si>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</si>
  <si>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</si>
  <si>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</si>
  <si>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</si>
  <si>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</si>
  <si>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</si>
  <si>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</si>
  <si>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</si>
  <si>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</si>
  <si>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</si>
  <si>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</si>
  <si>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</si>
  <si>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</si>
  <si>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</si>
  <si>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</si>
  <si>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</si>
  <si>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</si>
  <si>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</si>
  <si>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</si>
  <si>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</si>
  <si>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</si>
  <si>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</si>
  <si>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</si>
  <si>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</si>
  <si>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</si>
  <si>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</si>
  <si>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</si>
  <si>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</si>
  <si>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</si>
  <si>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</si>
  <si>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</si>
  <si>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</si>
  <si>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</si>
  <si>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</si>
  <si>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</si>
  <si>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</si>
  <si>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</si>
  <si>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</si>
  <si>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</si>
  <si>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</si>
  <si>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</si>
  <si>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</si>
  <si>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</si>
  <si>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</si>
  <si>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</si>
  <si>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</si>
  <si>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</si>
  <si>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</si>
  <si>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</si>
  <si>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</si>
  <si>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</si>
  <si>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</si>
  <si>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</si>
  <si>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</si>
  <si>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</si>
  <si>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</si>
  <si>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</si>
  <si>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</si>
  <si>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</si>
  <si>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</si>
  <si>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</si>
  <si>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</si>
  <si>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</si>
  <si>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</si>
  <si>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</si>
  <si>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</si>
  <si>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</si>
  <si>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</si>
  <si>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</si>
  <si>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</si>
  <si>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</si>
  <si>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</si>
  <si>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</si>
  <si>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</si>
  <si>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</si>
  <si>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</si>
  <si>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</si>
  <si>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</si>
  <si>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</si>
  <si>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</si>
  <si>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</si>
  <si>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</si>
  <si>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</si>
  <si>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</si>
  <si>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</si>
  <si>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</si>
  <si>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</si>
  <si>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</si>
  <si>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</si>
  <si>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</si>
  <si>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</si>
  <si>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</si>
  <si>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</si>
  <si>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</si>
  <si>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</si>
  <si>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</si>
  <si>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</si>
  <si>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</si>
  <si>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</si>
  <si>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</si>
  <si>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</si>
  <si>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</si>
  <si>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</si>
  <si>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</si>
  <si>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</si>
  <si>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</si>
  <si>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</si>
  <si>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</si>
  <si>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</si>
  <si>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</si>
  <si>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</si>
  <si>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</si>
  <si>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</si>
  <si>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</si>
  <si>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</si>
  <si>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</si>
  <si>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</si>
  <si>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</si>
  <si>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</si>
  <si>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</si>
  <si>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</si>
  <si>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</si>
  <si>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</si>
  <si>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</si>
  <si>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</si>
  <si>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</si>
  <si>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</si>
  <si>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</si>
  <si>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</si>
  <si>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</si>
  <si>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</si>
  <si>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</si>
  <si>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</si>
  <si>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</si>
  <si>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</si>
  <si>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</si>
  <si>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</si>
  <si>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</si>
  <si>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</si>
  <si>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</si>
  <si>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</si>
  <si>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</si>
  <si>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</si>
  <si>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</si>
  <si>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</si>
  <si>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</si>
  <si>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</si>
  <si>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</si>
  <si>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</si>
  <si>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</si>
  <si>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</si>
  <si>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</si>
  <si>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</si>
  <si>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</si>
  <si>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</si>
  <si>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</si>
  <si>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</si>
  <si>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</si>
  <si>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</si>
  <si>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</si>
  <si>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</si>
  <si>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</si>
  <si>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</si>
  <si>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</si>
  <si>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</si>
  <si>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</si>
  <si>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</si>
  <si>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</si>
  <si>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</si>
  <si>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</si>
  <si>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</si>
  <si>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</si>
  <si>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</si>
  <si>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</si>
  <si>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</si>
  <si>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</si>
  <si>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</si>
  <si>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</si>
  <si>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</si>
  <si>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</si>
  <si>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</si>
  <si>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</si>
  <si>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</si>
  <si>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</si>
  <si>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</si>
  <si>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</si>
  <si>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</si>
  <si>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</si>
  <si>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</si>
  <si>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</si>
  <si>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</si>
  <si>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</si>
  <si>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</si>
  <si>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</si>
  <si>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</si>
  <si>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</si>
  <si>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</si>
  <si>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</si>
  <si>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</si>
  <si>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</si>
  <si>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</si>
  <si>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</si>
  <si>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</si>
  <si>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</si>
  <si>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</si>
  <si>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</si>
  <si>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</si>
  <si>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</si>
  <si>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</si>
  <si>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</si>
  <si>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</si>
  <si>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</si>
  <si>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</si>
  <si>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</si>
  <si>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</si>
  <si>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</si>
  <si>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</si>
  <si>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</si>
  <si>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</si>
  <si>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</si>
  <si>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</si>
  <si>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</si>
  <si>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</si>
  <si>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</si>
  <si>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</si>
  <si>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</si>
  <si>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</si>
  <si>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</si>
  <si>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</si>
  <si>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</si>
  <si>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</si>
  <si>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</si>
  <si>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</si>
  <si>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</si>
  <si>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</si>
  <si>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</si>
  <si>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</si>
  <si>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</si>
  <si>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</si>
  <si>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</si>
  <si>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</si>
  <si>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</si>
  <si>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</si>
  <si>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</si>
  <si>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</si>
  <si>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</si>
  <si>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</si>
  <si>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</si>
  <si>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</si>
  <si>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</si>
  <si>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</si>
  <si>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</si>
  <si>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</si>
  <si>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</si>
  <si>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</si>
  <si>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</si>
  <si>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</si>
  <si>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</si>
  <si>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</si>
  <si>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</si>
  <si>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</si>
  <si>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</si>
  <si>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</si>
  <si>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</si>
  <si>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</si>
  <si>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</si>
  <si>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</si>
  <si>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</si>
  <si>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</si>
  <si>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</si>
  <si>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</si>
  <si>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</si>
  <si>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</si>
  <si>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</si>
  <si>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</si>
  <si>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</si>
  <si>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</si>
  <si>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</si>
  <si>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</si>
  <si>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</si>
  <si>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</si>
  <si>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</si>
  <si>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</si>
  <si>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</si>
  <si>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</si>
  <si>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</si>
  <si>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</si>
  <si>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</si>
  <si>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</si>
  <si>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</si>
  <si>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</si>
  <si>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</si>
  <si>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</si>
  <si>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</si>
  <si>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</si>
  <si>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</si>
  <si>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</si>
  <si>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</si>
  <si>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</si>
  <si>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</si>
  <si>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</si>
  <si>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</si>
  <si>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</si>
  <si>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</si>
  <si>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</si>
  <si>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</si>
  <si>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</si>
  <si>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</si>
  <si>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</si>
  <si>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</si>
  <si>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</si>
  <si>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</si>
  <si>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</si>
  <si>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</si>
  <si>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</si>
  <si>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</si>
  <si>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</si>
  <si>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</si>
  <si>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</si>
  <si>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</si>
  <si>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</si>
  <si>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</si>
  <si>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</si>
  <si>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</si>
  <si>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</si>
  <si>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</si>
  <si>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</si>
  <si>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</si>
  <si>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</si>
  <si>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</si>
  <si>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</si>
  <si>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</si>
  <si>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</si>
  <si>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</si>
  <si>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</si>
  <si>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</si>
  <si>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</si>
  <si>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</si>
  <si>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</si>
  <si>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</si>
  <si>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</si>
  <si>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</si>
  <si>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</si>
  <si>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</si>
  <si>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</si>
  <si>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</si>
  <si>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</si>
  <si>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</si>
  <si>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</si>
  <si>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</si>
  <si>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</si>
  <si>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</si>
  <si>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</si>
  <si>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</si>
  <si>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</si>
  <si>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</si>
  <si>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</si>
  <si>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</si>
  <si>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</si>
  <si>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</si>
  <si>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</si>
  <si>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</si>
  <si>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</si>
  <si>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</si>
  <si>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</si>
  <si>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</si>
  <si>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</si>
  <si>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</si>
  <si>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</si>
  <si>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</si>
  <si>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</si>
  <si>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</si>
  <si>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</si>
  <si>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</si>
  <si>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</si>
  <si>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</si>
  <si>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</si>
  <si>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</si>
  <si>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</si>
  <si>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</si>
  <si>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</si>
  <si>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</si>
  <si>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</si>
  <si>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</si>
  <si>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</si>
  <si>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</si>
  <si>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</si>
  <si>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</si>
  <si>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</si>
  <si>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</si>
  <si>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</si>
  <si>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</si>
  <si>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</si>
  <si>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</si>
  <si>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</si>
  <si>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</si>
  <si>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</si>
  <si>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</si>
  <si>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</si>
  <si>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</si>
  <si>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</si>
  <si>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</si>
  <si>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</si>
  <si>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</si>
  <si>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</si>
  <si>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</si>
  <si>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</si>
  <si>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</si>
  <si>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</si>
  <si>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</si>
  <si>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</si>
  <si>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</si>
  <si>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</si>
  <si>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</si>
  <si>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</si>
  <si>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</si>
  <si>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</si>
  <si>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</si>
  <si>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</si>
  <si>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</si>
  <si>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</si>
  <si>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</si>
  <si>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</si>
  <si>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</si>
  <si>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</si>
  <si>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</si>
  <si>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</si>
  <si>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</si>
  <si>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</si>
  <si>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</si>
  <si>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</si>
  <si>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</si>
  <si>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</si>
  <si>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</si>
  <si>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</si>
  <si>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</si>
  <si>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</si>
  <si>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</si>
  <si>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</si>
  <si>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</si>
  <si>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</si>
  <si>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</si>
  <si>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</si>
  <si>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</si>
  <si>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</si>
  <si>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</si>
  <si>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</si>
  <si>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</si>
  <si>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</si>
  <si>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</si>
  <si>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</si>
  <si>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</si>
  <si>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</si>
  <si>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</si>
  <si>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</si>
  <si>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</si>
  <si>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</si>
  <si>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</si>
  <si>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</si>
  <si>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</si>
  <si>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</si>
  <si>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</si>
  <si>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</si>
  <si>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</si>
  <si>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</si>
  <si>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</si>
  <si>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</si>
  <si>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</si>
  <si>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</si>
  <si>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</si>
  <si>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</si>
  <si>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</si>
  <si>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</si>
  <si>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</si>
  <si>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</si>
  <si>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</si>
  <si>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</si>
  <si>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</si>
  <si>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</si>
  <si>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</si>
  <si>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</si>
  <si>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</si>
  <si>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</si>
  <si>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</si>
  <si>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</si>
  <si>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</si>
  <si>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</si>
  <si>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</si>
  <si>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</si>
  <si>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</si>
  <si>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</si>
  <si>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</si>
  <si>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</si>
  <si>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</si>
  <si>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</si>
  <si>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</si>
  <si>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</si>
  <si>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</si>
  <si>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</si>
  <si>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</si>
  <si>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</si>
  <si>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</si>
  <si>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</si>
  <si>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</si>
  <si>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</si>
  <si>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</si>
  <si>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</si>
  <si>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</si>
  <si>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</si>
  <si>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</si>
  <si>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</si>
  <si>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</si>
  <si>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</si>
  <si>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</si>
  <si>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</si>
  <si>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</si>
  <si>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</si>
  <si>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</si>
  <si>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</si>
  <si>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</si>
  <si>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</si>
  <si>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</si>
  <si>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</si>
  <si>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</si>
  <si>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</si>
  <si>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</si>
  <si>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</si>
  <si>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</si>
  <si>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</si>
  <si>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</si>
  <si>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</si>
  <si>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</si>
  <si>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</si>
  <si>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</si>
  <si>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</si>
  <si>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</si>
  <si>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</si>
  <si>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</si>
  <si>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</si>
  <si>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</si>
  <si>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</si>
  <si>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</si>
  <si>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</si>
  <si>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</si>
  <si>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</si>
  <si>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</si>
  <si>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</si>
  <si>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</si>
  <si>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</si>
  <si>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</si>
  <si>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</si>
  <si>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</si>
  <si>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</si>
  <si>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</si>
  <si>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</si>
  <si>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</si>
  <si>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</si>
  <si>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</si>
  <si>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</si>
  <si>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</si>
  <si>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</si>
  <si>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</si>
  <si>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</si>
  <si>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</si>
  <si>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</si>
  <si>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</si>
  <si>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</si>
  <si>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</si>
  <si>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</si>
  <si>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</si>
  <si>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</si>
  <si>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</si>
  <si>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</si>
  <si>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</si>
  <si>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</si>
  <si>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</si>
  <si>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</si>
  <si>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</si>
  <si>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</si>
  <si>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</si>
  <si>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</si>
  <si>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</si>
  <si>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</si>
  <si>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</si>
  <si>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</si>
  <si>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</si>
  <si>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</si>
  <si>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</si>
  <si>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</si>
  <si>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</si>
  <si>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</si>
  <si>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</si>
  <si>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</si>
  <si>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</si>
  <si>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</si>
  <si>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</si>
  <si>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</si>
  <si>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</si>
  <si>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</si>
  <si>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</si>
  <si>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</si>
  <si>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</si>
  <si>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</si>
  <si>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</si>
  <si>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</si>
  <si>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</si>
  <si>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</si>
  <si>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</si>
  <si>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</si>
  <si>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</si>
  <si>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</si>
  <si>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</si>
  <si>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</si>
  <si>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</si>
  <si>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</si>
  <si>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</si>
  <si>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</si>
  <si>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</si>
  <si>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</si>
  <si>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</si>
  <si>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</si>
  <si>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</si>
  <si>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</si>
  <si>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</si>
  <si>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</si>
  <si>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</si>
  <si>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</si>
  <si>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</si>
  <si>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</si>
  <si>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</si>
  <si>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</si>
  <si>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</si>
  <si>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</si>
  <si>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</si>
  <si>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</si>
  <si>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</si>
  <si>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</si>
  <si>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</si>
  <si>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</si>
  <si>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</si>
  <si>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</si>
  <si>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</si>
  <si>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</si>
  <si>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</si>
  <si>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</si>
  <si>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</si>
  <si>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</si>
  <si>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</si>
  <si>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</si>
  <si>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</si>
  <si>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</si>
  <si>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</si>
  <si>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</si>
  <si>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</si>
  <si>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</si>
  <si>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</si>
  <si>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</si>
  <si>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</si>
  <si>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</si>
  <si>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</si>
  <si>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</si>
  <si>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</si>
  <si>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</si>
  <si>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</si>
  <si>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</si>
  <si>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</si>
  <si>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</si>
  <si>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</si>
  <si>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</si>
  <si>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</si>
  <si>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</si>
  <si>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</si>
  <si>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</si>
  <si>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</si>
  <si>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</si>
  <si>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</si>
  <si>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</si>
  <si>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</si>
  <si>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</si>
  <si>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</si>
  <si>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</si>
  <si>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</si>
  <si>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</si>
  <si>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</si>
  <si>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</si>
  <si>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</si>
  <si>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</si>
  <si>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</si>
  <si>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</si>
  <si>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</si>
  <si>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</si>
  <si>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</si>
  <si>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</si>
  <si>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</si>
  <si>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</si>
  <si>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</si>
  <si>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</si>
  <si>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</si>
  <si>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</si>
  <si>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</si>
  <si>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</si>
  <si>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</si>
  <si>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</si>
  <si>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</si>
  <si>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</si>
  <si>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</si>
  <si>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</si>
  <si>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</si>
  <si>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</si>
  <si>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</si>
  <si>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</si>
  <si>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</si>
  <si>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</si>
  <si>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</si>
  <si>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</si>
  <si>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</si>
  <si>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</si>
  <si>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</si>
  <si>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</si>
  <si>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</si>
  <si>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</si>
  <si>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</si>
  <si>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</si>
  <si>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</si>
  <si>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</si>
  <si>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</si>
  <si>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</si>
  <si>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</si>
  <si>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</si>
  <si>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</si>
  <si>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</si>
  <si>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</si>
  <si>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</si>
  <si>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</si>
  <si>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</si>
  <si>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</si>
  <si>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</si>
  <si>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</si>
  <si>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</si>
  <si>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</si>
  <si>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</si>
  <si>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</si>
  <si>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</si>
  <si>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</si>
  <si>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</si>
  <si>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</si>
  <si>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</si>
  <si>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</si>
  <si>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</si>
  <si>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</si>
  <si>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</si>
  <si>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</si>
  <si>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</si>
  <si>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</si>
  <si>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</si>
  <si>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</si>
  <si>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</si>
  <si>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</si>
  <si>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</si>
  <si>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</si>
  <si>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</si>
  <si>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</si>
  <si>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</si>
  <si>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</si>
  <si>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</si>
  <si>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</si>
  <si>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</si>
  <si>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</si>
  <si>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</si>
  <si>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</si>
  <si>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</si>
  <si>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</si>
  <si>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</si>
  <si>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</si>
  <si>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</si>
  <si>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</si>
  <si>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</si>
  <si>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</si>
  <si>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</si>
  <si>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</si>
  <si>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</si>
  <si>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</si>
  <si>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</si>
  <si>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</si>
  <si>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</si>
  <si>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</si>
  <si>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</si>
  <si>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</si>
  <si>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</si>
  <si>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</si>
  <si>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</si>
  <si>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</si>
  <si>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</si>
  <si>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</si>
  <si>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</si>
  <si>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</si>
  <si>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</si>
  <si>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</si>
  <si>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</si>
  <si>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</si>
  <si>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</si>
  <si>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</si>
  <si>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</si>
  <si>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</si>
  <si>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</si>
  <si>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</si>
  <si>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</si>
  <si>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</si>
  <si>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</si>
  <si>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</si>
  <si>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</si>
  <si>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</si>
  <si>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</si>
  <si>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</si>
  <si>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</si>
  <si>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</si>
  <si>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</si>
  <si>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</si>
  <si>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</si>
  <si>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</si>
  <si>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</si>
  <si>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</si>
  <si>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</si>
  <si>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</si>
  <si>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</si>
  <si>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</si>
  <si>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</si>
  <si>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</si>
  <si>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</si>
  <si>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</si>
  <si>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</si>
  <si>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</si>
  <si>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</si>
  <si>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</si>
  <si>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</si>
  <si>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</si>
  <si>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</si>
  <si>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</si>
  <si>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</si>
  <si>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</si>
  <si>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</si>
  <si>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</si>
  <si>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</si>
  <si>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</si>
  <si>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</si>
  <si>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</si>
  <si>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</si>
  <si>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</si>
  <si>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</si>
  <si>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</si>
  <si>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</si>
  <si>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</si>
  <si>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</si>
  <si>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</si>
  <si>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</si>
  <si>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</si>
  <si>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</si>
  <si>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</si>
  <si>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</si>
  <si>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</si>
  <si>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</si>
  <si>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</si>
  <si>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</si>
  <si>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</si>
  <si>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</si>
  <si>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</si>
  <si>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</si>
  <si>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</si>
  <si>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</si>
  <si>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</si>
  <si>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</si>
  <si>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</si>
  <si>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</si>
  <si>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</si>
  <si>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</si>
  <si>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</si>
  <si>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</si>
  <si>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</si>
  <si>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</si>
  <si>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</si>
  <si>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</si>
  <si>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</si>
  <si>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</si>
  <si>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</si>
  <si>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</si>
  <si>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</si>
  <si>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</si>
  <si>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</si>
  <si>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</si>
  <si>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</si>
  <si>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</si>
  <si>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</si>
  <si>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</si>
  <si>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</si>
  <si>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</si>
  <si>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</si>
  <si>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</si>
  <si>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</si>
  <si>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</si>
  <si>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</si>
  <si>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</si>
  <si>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</si>
  <si>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</si>
  <si>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</si>
  <si>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</si>
  <si>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</si>
  <si>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</si>
  <si>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</si>
  <si>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</si>
  <si>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</si>
  <si>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</si>
  <si>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</si>
  <si>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</si>
  <si>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</si>
  <si>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</si>
  <si>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</si>
  <si>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</si>
  <si>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</si>
  <si>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</si>
  <si>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</si>
  <si>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</si>
  <si>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</si>
  <si>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</si>
  <si>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</si>
  <si>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</si>
  <si>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</si>
  <si>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</si>
  <si>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</si>
  <si>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</si>
  <si>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</si>
  <si>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</si>
  <si>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</si>
  <si>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</si>
  <si>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</si>
  <si>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</si>
  <si>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</si>
  <si>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</si>
  <si>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</si>
  <si>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</si>
  <si>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</si>
  <si>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</si>
  <si>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</si>
  <si>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</si>
  <si>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</si>
  <si>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</si>
  <si>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</si>
  <si>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</si>
  <si>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</si>
  <si>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</si>
  <si>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</si>
  <si>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</si>
  <si>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</si>
  <si>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</si>
  <si>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</si>
  <si>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</si>
  <si>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</si>
  <si>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</si>
  <si>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</si>
  <si>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</si>
  <si>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</si>
  <si>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</si>
  <si>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</si>
  <si>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</si>
  <si>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</si>
  <si>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</si>
  <si>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</si>
  <si>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</si>
  <si>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</si>
  <si>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</si>
  <si>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</si>
  <si>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</si>
  <si>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</si>
  <si>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</si>
  <si>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</si>
  <si>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</si>
  <si>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</si>
  <si>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</si>
  <si>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</si>
  <si>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</si>
  <si>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</si>
  <si>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</si>
  <si>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</si>
  <si>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</si>
  <si>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</si>
  <si>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</si>
  <si>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</si>
  <si>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</si>
  <si>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</si>
  <si>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</si>
  <si>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</si>
  <si>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</si>
  <si>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</si>
  <si>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</si>
  <si>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</si>
  <si>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</si>
  <si>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</si>
  <si>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</si>
  <si>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</si>
  <si>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</si>
  <si>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</si>
  <si>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</si>
  <si>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</si>
  <si>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</si>
  <si>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</si>
  <si>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</si>
  <si>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</si>
  <si>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</si>
  <si>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</si>
  <si>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</si>
  <si>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</si>
  <si>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</si>
  <si>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</si>
  <si>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</si>
  <si>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</si>
  <si>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</si>
  <si>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</si>
  <si>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</si>
  <si>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</si>
  <si>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</si>
  <si>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</si>
  <si>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</si>
  <si>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</si>
  <si>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</si>
  <si>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</si>
  <si>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</si>
  <si>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</si>
  <si>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</si>
  <si>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</si>
  <si>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</si>
  <si>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</si>
  <si>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</si>
  <si>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</si>
  <si>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</si>
  <si>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</si>
  <si>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</si>
  <si>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</si>
  <si>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</si>
  <si>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</si>
  <si>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</si>
  <si>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</si>
  <si>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</si>
  <si>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</si>
  <si>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</si>
  <si>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</si>
  <si>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</si>
  <si>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</si>
  <si>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</si>
  <si>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</si>
  <si>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</si>
  <si>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</si>
  <si>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</si>
  <si>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</si>
  <si>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</si>
  <si>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</si>
  <si>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</si>
  <si>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</si>
  <si>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</si>
  <si>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</si>
  <si>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</si>
  <si>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</si>
  <si>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</si>
  <si>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</si>
  <si>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</si>
  <si>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</si>
  <si>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</si>
  <si>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</si>
  <si>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</si>
  <si>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</si>
  <si>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</si>
  <si>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</si>
  <si>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</si>
  <si>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</si>
  <si>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</si>
  <si>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</si>
  <si>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</si>
  <si>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</si>
  <si>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</si>
  <si>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</si>
  <si>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</si>
  <si>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</si>
  <si>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</si>
  <si>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</si>
  <si>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</si>
  <si>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</si>
  <si>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</si>
  <si>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</si>
  <si>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</si>
  <si>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</si>
  <si>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</si>
  <si>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</si>
  <si>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</si>
  <si>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</si>
  <si>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</si>
  <si>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</si>
  <si>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</si>
  <si>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</si>
  <si>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</si>
  <si>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</si>
  <si>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</si>
  <si>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</si>
  <si>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</si>
  <si>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</si>
  <si>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</si>
  <si>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</si>
  <si>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</si>
  <si>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</si>
  <si>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</si>
  <si>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</si>
  <si>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</si>
  <si>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</si>
  <si>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</si>
  <si>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</si>
  <si>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</si>
  <si>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</si>
  <si>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</si>
  <si>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</si>
  <si>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</si>
  <si>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</si>
  <si>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</si>
  <si>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</si>
  <si>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</si>
  <si>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</si>
  <si>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</si>
  <si>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</si>
  <si>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</si>
  <si>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</si>
  <si>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</si>
  <si>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</si>
  <si>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</si>
  <si>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</si>
  <si>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</si>
  <si>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</si>
  <si>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</si>
  <si>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</si>
  <si>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</si>
  <si>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</si>
  <si>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</si>
  <si>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</si>
  <si>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</si>
  <si>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</si>
  <si>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</si>
  <si>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</si>
  <si>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</si>
  <si>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</si>
  <si>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</si>
  <si>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</si>
  <si>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</si>
  <si>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</si>
  <si>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</si>
  <si>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</si>
  <si>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</si>
  <si>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</si>
  <si>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</si>
  <si>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</si>
  <si>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</si>
  <si>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</si>
  <si>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</si>
  <si>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</si>
  <si>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</si>
  <si>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</si>
  <si>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</si>
  <si>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</si>
  <si>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</si>
  <si>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</si>
  <si>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</si>
  <si>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</si>
  <si>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</si>
  <si>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</si>
  <si>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</si>
  <si>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</si>
  <si>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</si>
  <si>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</si>
  <si>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</si>
  <si>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</si>
  <si>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</si>
  <si>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</si>
  <si>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</si>
  <si>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</si>
  <si>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</si>
  <si>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</si>
  <si>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</si>
  <si>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</si>
  <si>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</si>
  <si>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</si>
  <si>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</si>
  <si>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</si>
  <si>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</si>
  <si>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</si>
  <si>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</si>
  <si>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</si>
  <si>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</si>
  <si>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</si>
  <si>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</si>
  <si>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</si>
  <si>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</si>
  <si>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</si>
  <si>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</si>
  <si>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</si>
  <si>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</si>
  <si>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</si>
  <si>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</si>
  <si>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</si>
  <si>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</si>
  <si>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</si>
  <si>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</si>
  <si>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</si>
  <si>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</si>
  <si>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</si>
  <si>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</si>
  <si>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</si>
  <si>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</si>
  <si>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</si>
  <si>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</si>
  <si>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</si>
  <si>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</si>
  <si>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</si>
  <si>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</si>
  <si>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</si>
  <si>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</si>
  <si>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</si>
  <si>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</si>
  <si>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</si>
  <si>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</si>
  <si>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</si>
  <si>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</si>
  <si>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</si>
  <si>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</si>
  <si>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</si>
  <si>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</si>
  <si>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</si>
  <si>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</si>
  <si>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</si>
  <si>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</si>
  <si>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</si>
  <si>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</si>
  <si>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</si>
  <si>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</si>
  <si>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</si>
  <si>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</si>
  <si>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</si>
  <si>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</si>
  <si>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</si>
  <si>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</si>
  <si>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</si>
  <si>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</si>
  <si>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</si>
  <si>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</si>
  <si>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</si>
  <si>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</si>
  <si>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</si>
  <si>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</si>
  <si>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</si>
  <si>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</si>
  <si>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</si>
  <si>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</si>
  <si>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</si>
  <si>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</si>
  <si>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</si>
  <si>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</si>
  <si>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</si>
  <si>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</si>
  <si>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</si>
  <si>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</si>
  <si>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</si>
  <si>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</si>
  <si>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</si>
  <si>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</si>
  <si>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</si>
  <si>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</si>
  <si>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</si>
  <si>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</si>
  <si>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</si>
  <si>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</si>
  <si>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</si>
  <si>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</si>
  <si>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</si>
  <si>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</si>
  <si>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</si>
  <si>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</si>
  <si>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</si>
  <si>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</si>
  <si>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</si>
  <si>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</si>
  <si>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</si>
  <si>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</si>
  <si>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</si>
  <si>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</si>
  <si>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</si>
  <si>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</si>
  <si>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</si>
  <si>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</si>
  <si>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</si>
  <si>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</si>
  <si>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</si>
  <si>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</si>
  <si>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</si>
  <si>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</si>
  <si>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</si>
  <si>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</si>
  <si>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</si>
  <si>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</si>
  <si>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</si>
  <si>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</si>
  <si>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</si>
  <si>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</si>
  <si>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</si>
  <si>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</si>
  <si>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</si>
  <si>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</si>
  <si>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</si>
  <si>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</si>
  <si>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</si>
  <si>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</si>
  <si>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</si>
  <si>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</si>
  <si>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</si>
  <si>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</si>
  <si>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</si>
  <si>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</si>
  <si>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</si>
  <si>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</si>
  <si>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</si>
  <si>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</si>
  <si>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</si>
  <si>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</si>
  <si>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</si>
  <si>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</si>
  <si>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</si>
  <si>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</si>
  <si>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</si>
  <si>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</si>
  <si>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</si>
  <si>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</si>
  <si>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</si>
  <si>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</si>
  <si>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</si>
  <si>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</si>
  <si>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</si>
  <si>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</si>
  <si>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</si>
  <si>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</si>
  <si>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</si>
  <si>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</si>
  <si>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</si>
  <si>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</si>
  <si>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</si>
  <si>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</si>
  <si>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</si>
  <si>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</si>
  <si>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</si>
  <si>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</si>
  <si>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</si>
  <si>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</si>
  <si>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</si>
  <si>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</si>
  <si>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</si>
  <si>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</si>
  <si>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</si>
  <si>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</si>
  <si>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</si>
  <si>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</si>
  <si>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</si>
  <si>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</si>
  <si>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</si>
  <si>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</si>
  <si>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</si>
  <si>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</si>
  <si>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</si>
  <si>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</si>
  <si>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</si>
  <si>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</si>
  <si>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</si>
  <si>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</si>
  <si>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</si>
  <si>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</si>
  <si>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</si>
  <si>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</si>
  <si>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</si>
  <si>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</si>
  <si>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</si>
  <si>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</si>
  <si>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</si>
  <si>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</si>
  <si>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</si>
  <si>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</si>
  <si>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</si>
  <si>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</si>
  <si>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</si>
  <si>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</si>
  <si>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</si>
  <si>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</si>
  <si>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</si>
  <si>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</si>
  <si>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</si>
  <si>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</si>
  <si>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</si>
  <si>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</si>
  <si>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</si>
  <si>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</si>
  <si>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</si>
  <si>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</si>
  <si>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</si>
  <si>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</si>
  <si>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</si>
  <si>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</si>
  <si>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</si>
  <si>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</si>
  <si>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</si>
  <si>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</si>
  <si>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</si>
  <si>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</si>
  <si>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</si>
  <si>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</si>
  <si>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</si>
  <si>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</si>
  <si>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</si>
  <si>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</si>
  <si>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</si>
  <si>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</si>
  <si>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</si>
  <si>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</si>
  <si>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</si>
  <si>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</si>
  <si>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</si>
  <si>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</si>
  <si>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</si>
  <si>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</si>
  <si>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</si>
  <si>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</si>
  <si>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</si>
  <si>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</si>
  <si>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</si>
  <si>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</si>
  <si>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</si>
  <si>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</si>
  <si>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</si>
  <si>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</si>
  <si>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</si>
  <si>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</si>
  <si>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</si>
  <si>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</si>
  <si>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</si>
  <si>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</si>
  <si>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</si>
  <si>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</si>
  <si>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</si>
  <si>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</si>
  <si>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</si>
  <si>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</si>
  <si>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</si>
  <si>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</si>
  <si>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</si>
  <si>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</si>
  <si>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</si>
  <si>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</si>
  <si>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</si>
  <si>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</si>
  <si>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</si>
  <si>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</si>
  <si>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</si>
  <si>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</si>
  <si>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</si>
  <si>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</si>
  <si>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</si>
  <si>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</si>
  <si>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</si>
  <si>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</si>
  <si>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</si>
  <si>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</si>
  <si>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</si>
  <si>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</si>
  <si>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</si>
  <si>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</si>
  <si>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</si>
  <si>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</si>
  <si>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</si>
  <si>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</si>
  <si>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</si>
  <si>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</si>
  <si>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</si>
  <si>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</si>
  <si>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</si>
  <si>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</si>
  <si>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</si>
  <si>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</si>
  <si>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</si>
  <si>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</si>
  <si>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</si>
  <si>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</si>
  <si>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</si>
  <si>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</si>
  <si>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</si>
  <si>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</si>
  <si>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</si>
  <si>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</si>
  <si>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</si>
  <si>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</si>
  <si>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</si>
  <si>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</si>
  <si>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</si>
  <si>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</si>
  <si>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</si>
  <si>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</si>
  <si>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</si>
  <si>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</si>
  <si>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</si>
  <si>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</si>
  <si>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</si>
  <si>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</si>
  <si>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</si>
  <si>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</si>
  <si>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</si>
  <si>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</si>
  <si>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</si>
  <si>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</si>
  <si>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</si>
  <si>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</si>
  <si>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</si>
  <si>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</si>
  <si>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</si>
  <si>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</si>
  <si>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</si>
  <si>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</si>
  <si>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</si>
  <si>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</si>
  <si>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</si>
  <si>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</si>
  <si>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</si>
  <si>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</si>
  <si>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</si>
  <si>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</si>
  <si>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</si>
  <si>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</si>
  <si>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</si>
  <si>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</si>
  <si>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</si>
  <si>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</si>
  <si>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</si>
  <si>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</si>
  <si>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</si>
  <si>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</si>
  <si>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</si>
  <si>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</si>
  <si>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</si>
  <si>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</si>
  <si>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</si>
  <si>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</si>
  <si>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</si>
  <si>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</si>
  <si>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</si>
  <si>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</si>
  <si>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</si>
  <si>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</si>
  <si>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</si>
  <si>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</si>
  <si>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</si>
  <si>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</si>
  <si>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</si>
  <si>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</si>
  <si>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</si>
  <si>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</si>
  <si>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</si>
  <si>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</si>
  <si>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</si>
  <si>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</si>
  <si>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</si>
  <si>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</si>
  <si>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</si>
  <si>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</si>
  <si>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</si>
  <si>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</si>
  <si>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</si>
  <si>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</si>
  <si>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</si>
  <si>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</si>
  <si>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</si>
  <si>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</si>
  <si>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</si>
  <si>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</si>
  <si>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</si>
  <si>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</si>
  <si>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</si>
  <si>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</si>
  <si>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</si>
  <si>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</si>
  <si>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</si>
  <si>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</si>
  <si>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</si>
  <si>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</si>
  <si>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</si>
  <si>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</si>
  <si>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</si>
  <si>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</si>
  <si>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</si>
  <si>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</si>
  <si>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</si>
  <si>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</si>
  <si>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</si>
  <si>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</si>
  <si>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</si>
  <si>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</si>
  <si>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</si>
  <si>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</si>
  <si>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</si>
  <si>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</si>
  <si>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</si>
  <si>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</si>
  <si>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</si>
  <si>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</si>
  <si>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</si>
  <si>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</si>
  <si>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</si>
  <si>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</si>
  <si>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</si>
  <si>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</si>
  <si>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</si>
  <si>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</si>
  <si>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</si>
  <si>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</si>
  <si>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</si>
  <si>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</si>
  <si>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</si>
  <si>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</si>
  <si>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</si>
  <si>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</si>
  <si>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</si>
  <si>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</si>
  <si>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</si>
  <si>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</si>
  <si>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</si>
  <si>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</si>
  <si>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</si>
  <si>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</si>
  <si>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</si>
  <si>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</si>
  <si>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</si>
  <si>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</si>
  <si>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</si>
  <si>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</si>
  <si>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</si>
  <si>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</si>
  <si>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</si>
  <si>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</si>
  <si>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</si>
  <si>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</si>
  <si>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</si>
  <si>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</si>
  <si>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</si>
  <si>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</si>
  <si>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</si>
  <si>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</si>
  <si>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</si>
  <si>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</si>
  <si>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</si>
  <si>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</si>
  <si>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</si>
  <si>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</si>
  <si>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</si>
  <si>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</si>
  <si>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</si>
  <si>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</si>
  <si>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</si>
  <si>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</si>
  <si>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</si>
  <si>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</si>
  <si>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</si>
  <si>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</si>
  <si>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</si>
  <si>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</si>
  <si>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</si>
  <si>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</si>
  <si>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</si>
  <si>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</si>
  <si>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</si>
  <si>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</si>
  <si>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</si>
  <si>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</si>
  <si>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</si>
  <si>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</si>
  <si>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</si>
  <si>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</si>
  <si>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</si>
  <si>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</si>
  <si>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</si>
  <si>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</si>
  <si>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</si>
  <si>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</si>
  <si>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</si>
  <si>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</si>
  <si>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</si>
  <si>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</si>
  <si>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</si>
  <si>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</si>
  <si>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</si>
  <si>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</si>
  <si>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</si>
  <si>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</si>
  <si>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</si>
  <si>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</si>
  <si>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</si>
  <si>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</si>
  <si>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</si>
  <si>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</si>
  <si>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</si>
  <si>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</si>
  <si>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</si>
  <si>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</si>
  <si>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</si>
  <si>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</si>
  <si>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</si>
  <si>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</si>
  <si>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</si>
  <si>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</si>
  <si>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</si>
  <si>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</si>
  <si>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</si>
  <si>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</si>
  <si>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</si>
  <si>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</si>
  <si>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</si>
  <si>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</si>
  <si>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</si>
  <si>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</si>
  <si>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</si>
  <si>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</si>
  <si>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</si>
  <si>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</si>
  <si>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</si>
  <si>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</si>
  <si>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</si>
  <si>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</si>
  <si>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</si>
  <si>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</si>
  <si>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</si>
  <si>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</si>
  <si>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</si>
  <si>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</si>
  <si>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</si>
  <si>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</si>
  <si>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</si>
  <si>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</si>
  <si>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</si>
  <si>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</si>
  <si>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</si>
  <si>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</si>
  <si>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</si>
  <si>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</si>
  <si>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</si>
  <si>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</si>
  <si>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</si>
  <si>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</si>
  <si>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</si>
  <si>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</si>
  <si>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</si>
  <si>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</si>
  <si>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</si>
  <si>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</si>
  <si>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</si>
  <si>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</si>
  <si>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</si>
  <si>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</si>
  <si>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</si>
  <si>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</si>
  <si>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</si>
  <si>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</si>
  <si>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</si>
  <si>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</si>
  <si>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</si>
  <si>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</si>
  <si>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</si>
  <si>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</si>
  <si>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</si>
  <si>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</si>
  <si>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</si>
  <si>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</si>
  <si>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</si>
  <si>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</si>
  <si>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</si>
  <si>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</si>
  <si>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</si>
  <si>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</si>
  <si>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</si>
  <si>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</si>
  <si>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</si>
  <si>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</si>
  <si>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</si>
  <si>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</si>
  <si>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</si>
  <si>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</si>
  <si>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</si>
  <si>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</si>
  <si>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</si>
  <si>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</si>
  <si>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</si>
  <si>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</si>
  <si>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</si>
  <si>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</si>
  <si>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</si>
  <si>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</si>
  <si>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</si>
  <si>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</si>
  <si>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</si>
  <si>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</si>
  <si>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</si>
  <si>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</si>
  <si>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</si>
  <si>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</si>
  <si>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</si>
  <si>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</si>
  <si>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</si>
  <si>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</si>
  <si>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</si>
  <si>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</si>
  <si>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</si>
  <si>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</si>
  <si>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</si>
  <si>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</si>
  <si>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</si>
  <si>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</si>
  <si>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</si>
  <si>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</si>
  <si>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</si>
  <si>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</si>
  <si>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</si>
  <si>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</si>
  <si>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</si>
  <si>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</si>
  <si>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</si>
  <si>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</si>
  <si>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</si>
  <si>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</si>
  <si>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</si>
  <si>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</si>
  <si>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</si>
  <si>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</si>
  <si>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</si>
  <si>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</si>
  <si>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</si>
  <si>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</si>
  <si>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</si>
  <si>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</si>
  <si>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</si>
  <si>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</si>
  <si>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</si>
  <si>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</si>
  <si>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</si>
  <si>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</si>
  <si>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</si>
  <si>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</si>
  <si>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</si>
  <si>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</si>
  <si>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</si>
  <si>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</si>
  <si>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</si>
  <si>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</si>
  <si>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</si>
  <si>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</si>
  <si>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</si>
  <si>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</si>
  <si>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</si>
  <si>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</si>
  <si>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</si>
  <si>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</si>
  <si>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</si>
  <si>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</si>
  <si>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</si>
  <si>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</si>
  <si>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</si>
  <si>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</si>
  <si>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</si>
  <si>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</si>
  <si>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</si>
  <si>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</si>
  <si>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</si>
  <si>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</si>
  <si>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</si>
  <si>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</si>
  <si>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</si>
  <si>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</si>
  <si>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</si>
  <si>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</si>
  <si>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</si>
  <si>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</si>
  <si>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</si>
  <si>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</si>
  <si>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</si>
  <si>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</si>
  <si>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</si>
  <si>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</si>
  <si>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</si>
  <si>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</si>
  <si>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</si>
  <si>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</si>
  <si>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</si>
  <si>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</si>
  <si>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</si>
  <si>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</si>
  <si>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</si>
  <si>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</si>
  <si>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</si>
  <si>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</si>
  <si>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</si>
  <si>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</si>
  <si>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</si>
  <si>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</si>
  <si>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</si>
  <si>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</si>
  <si>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</si>
  <si>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</si>
  <si>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</si>
  <si>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</si>
  <si>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</si>
  <si>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</si>
  <si>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</si>
  <si>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</si>
  <si>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</si>
  <si>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</si>
  <si>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</si>
  <si>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</si>
  <si>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</si>
  <si>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</si>
  <si>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</si>
  <si>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</si>
  <si>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</si>
  <si>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</si>
  <si>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</si>
  <si>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</si>
  <si>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</si>
  <si>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</si>
  <si>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</si>
  <si>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</si>
  <si>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</si>
  <si>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</si>
  <si>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</si>
  <si>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</si>
  <si>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</si>
  <si>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</si>
  <si>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</si>
  <si>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</si>
  <si>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</si>
  <si>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</si>
  <si>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</si>
  <si>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</si>
  <si>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</si>
  <si>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</si>
  <si>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</si>
  <si>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</si>
  <si>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</si>
  <si>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</si>
  <si>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</si>
  <si>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</si>
  <si>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</si>
  <si>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</si>
  <si>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</si>
  <si>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</si>
  <si>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</si>
  <si>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</si>
  <si>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</si>
  <si>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</si>
  <si>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</si>
  <si>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</si>
  <si>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</si>
  <si>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</si>
  <si>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</si>
  <si>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</si>
  <si>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</si>
  <si>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</si>
  <si>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</si>
  <si>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</si>
  <si>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</si>
  <si>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</si>
  <si>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</si>
  <si>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</si>
  <si>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</si>
  <si>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</si>
  <si>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</si>
  <si>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</si>
  <si>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</si>
  <si>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</si>
  <si>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</si>
  <si>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</si>
  <si>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</si>
  <si>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</si>
  <si>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</si>
  <si>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</si>
  <si>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</si>
  <si>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</si>
  <si>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</si>
  <si>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May</t>
  </si>
  <si>
    <t>Jun</t>
  </si>
  <si>
    <t>Jul</t>
  </si>
  <si>
    <t>Aug</t>
  </si>
  <si>
    <t>Sep</t>
  </si>
  <si>
    <t>2020</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</si>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</sst>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xf numFmtId="168" fontId="0" fillId="0" borderId="0" xfId="0" applyNumberFormat="1"/>
  </cellXfs>
  <cellStyles count="1">
    <cellStyle name="Normal" xfId="0" builtinId="0"/>
  </cellStyles>
  <dxfs count="16">
    <dxf>
      <font>
        <b/>
        <i val="0"/>
        <color theme="0"/>
        <name val="Calibri"/>
        <family val="2"/>
        <scheme val="minor"/>
      </font>
    </dxf>
    <dxf>
      <fill>
        <patternFill>
          <bgColor theme="5" tint="0.39994506668294322"/>
        </patternFill>
      </fill>
    </dxf>
    <dxf>
      <numFmt numFmtId="0" formatCode="General"/>
    </dxf>
    <dxf>
      <font>
        <b/>
        <i val="0"/>
        <sz val="11"/>
        <color theme="1"/>
        <name val="Calibri"/>
        <family val="2"/>
        <scheme val="minor"/>
      </font>
      <border>
        <left style="thin">
          <color auto="1"/>
        </left>
        <right style="thin">
          <color auto="1"/>
        </right>
        <top style="thin">
          <color auto="1"/>
        </top>
        <bottom style="thin">
          <color auto="1"/>
        </bottom>
      </border>
    </dxf>
    <dxf>
      <font>
        <b val="0"/>
        <i val="0"/>
        <sz val="11"/>
        <name val="Calibri"/>
        <family val="2"/>
        <scheme val="minor"/>
      </font>
      <fill>
        <patternFill patternType="solid">
          <fgColor theme="0"/>
          <bgColor theme="5"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Coffee Slicer" pivot="0" table="0" count="6" xr9:uid="{E06A601A-5FFD-495E-982F-E551A8221882}">
      <tableStyleElement type="wholeTable" dxfId="1"/>
      <tableStyleElement type="headerRow" dxfId="0"/>
    </tableStyle>
    <tableStyle name="Coffee Timeline Style" pivot="0" table="0" count="8" xr9:uid="{65CDE411-5145-4E39-8829-D09DC0F4C78A}">
      <tableStyleElement type="wholeTable" dxfId="4"/>
      <tableStyleElement type="headerRow" dxfId="3"/>
    </tableStyle>
  </tableStyles>
  <colors>
    <mruColors>
      <color rgb="FFD5B785"/>
      <color rgb="FFFFCC66"/>
      <color rgb="FFCC9900"/>
      <color rgb="FFCC6600"/>
      <color rgb="FF8A4C7B"/>
      <color rgb="FFE4DBCA"/>
    </mruColors>
  </colors>
  <extLst>
    <ext xmlns:x14="http://schemas.microsoft.com/office/spreadsheetml/2009/9/main" uri="{46F421CA-312F-682f-3DD2-61675219B42D}">
      <x14:dxfs count="4">
        <dxf>
          <font>
            <b/>
            <i val="0"/>
            <color theme="0"/>
            <name val="Adobe Arabic"/>
            <family val="1"/>
            <scheme val="none"/>
          </font>
          <border>
            <left style="thin">
              <color auto="1"/>
            </left>
            <right style="thin">
              <color auto="1"/>
            </right>
            <top style="thin">
              <color auto="1"/>
            </top>
            <bottom style="thin">
              <color auto="1"/>
            </bottom>
          </border>
        </dxf>
        <dxf>
          <font>
            <b/>
            <i val="0"/>
            <color theme="0"/>
            <name val="Calibri"/>
            <family val="2"/>
            <scheme val="minor"/>
          </font>
          <border>
            <left style="thin">
              <color auto="1"/>
            </left>
            <right style="thin">
              <color auto="1"/>
            </right>
            <top style="thin">
              <color auto="1"/>
            </top>
            <bottom style="thin">
              <color auto="1"/>
            </bottom>
          </border>
        </dxf>
        <dxf>
          <font>
            <b val="0"/>
            <i val="0"/>
            <strike/>
            <color theme="0" tint="-4.9989318521683403E-2"/>
            <name val="Calibri"/>
            <family val="2"/>
            <scheme val="minor"/>
          </font>
          <border>
            <left style="thin">
              <color auto="1"/>
            </left>
            <right style="thin">
              <color auto="1"/>
            </right>
            <top style="thin">
              <color auto="1"/>
            </top>
            <bottom style="thin">
              <color auto="1"/>
            </bottom>
          </border>
        </dxf>
        <dxf>
          <font>
            <b val="0"/>
            <i val="0"/>
            <strike/>
            <color theme="0" tint="-4.9989318521683403E-2"/>
            <name val="Calibri"/>
            <family val="2"/>
            <scheme val="minor"/>
          </font>
        </dxf>
      </x14:dxfs>
    </ext>
    <ext xmlns:x14="http://schemas.microsoft.com/office/spreadsheetml/2009/9/main" uri="{EB79DEF2-80B8-43e5-95BD-54CBDDF9020C}">
      <x14:slicerStyles defaultSlicerStyle="SlicerStyleLight1">
        <x14:slicerStyle name="Coffe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theme="7" tint="0.3999450666829432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val="0"/>
            <i val="0"/>
            <sz val="11"/>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Coffe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4"/>
  </c:pivotSource>
  <c:chart>
    <c:title>
      <c:tx>
        <c:rich>
          <a:bodyPr rot="0" spcFirstLastPara="1" vertOverflow="ellipsis" vert="horz" wrap="square" anchor="ctr" anchorCtr="1"/>
          <a:lstStyle/>
          <a:p>
            <a:pPr>
              <a:defRPr sz="1400" b="0" i="0" u="none" strike="noStrike" kern="1200" spc="0" baseline="0">
                <a:solidFill>
                  <a:srgbClr val="CC660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C6600"/>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C66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C66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C66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A4C7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C66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8A4C7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8A4C7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C66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4">
                  <a:lumMod val="40000"/>
                  <a:lumOff val="60000"/>
                </a:schemeClr>
              </a:solidFill>
              <a:round/>
            </a:ln>
            <a:effectLst/>
          </c:spPr>
          <c:marker>
            <c:symbol val="none"/>
          </c:marker>
          <c:cat>
            <c:multiLvlStrRef>
              <c:f>TotalSales!$A$5:$B$9</c:f>
              <c:multiLvlStrCache>
                <c:ptCount val="5"/>
                <c:lvl>
                  <c:pt idx="0">
                    <c:v>May</c:v>
                  </c:pt>
                  <c:pt idx="1">
                    <c:v>Jun</c:v>
                  </c:pt>
                  <c:pt idx="2">
                    <c:v>Jul</c:v>
                  </c:pt>
                  <c:pt idx="3">
                    <c:v>Aug</c:v>
                  </c:pt>
                  <c:pt idx="4">
                    <c:v>Sep</c:v>
                  </c:pt>
                </c:lvl>
                <c:lvl>
                  <c:pt idx="0">
                    <c:v>2020</c:v>
                  </c:pt>
                </c:lvl>
              </c:multiLvlStrCache>
            </c:multiLvlStrRef>
          </c:cat>
          <c:val>
            <c:numRef>
              <c:f>TotalSales!$C$5:$C$9</c:f>
              <c:numCache>
                <c:formatCode>#,##0</c:formatCode>
                <c:ptCount val="5"/>
                <c:pt idx="0">
                  <c:v>255.11499999999998</c:v>
                </c:pt>
                <c:pt idx="1">
                  <c:v>584.79</c:v>
                </c:pt>
                <c:pt idx="2">
                  <c:v>430.61999999999995</c:v>
                </c:pt>
                <c:pt idx="3">
                  <c:v>22.5</c:v>
                </c:pt>
                <c:pt idx="4">
                  <c:v>126.14999999999999</c:v>
                </c:pt>
              </c:numCache>
            </c:numRef>
          </c:val>
          <c:smooth val="0"/>
          <c:extLst>
            <c:ext xmlns:c16="http://schemas.microsoft.com/office/drawing/2014/chart" uri="{C3380CC4-5D6E-409C-BE32-E72D297353CC}">
              <c16:uniqueId val="{00000000-802B-4363-A17F-6E3FB0F4FF13}"/>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TotalSales!$A$5:$B$9</c:f>
              <c:multiLvlStrCache>
                <c:ptCount val="5"/>
                <c:lvl>
                  <c:pt idx="0">
                    <c:v>May</c:v>
                  </c:pt>
                  <c:pt idx="1">
                    <c:v>Jun</c:v>
                  </c:pt>
                  <c:pt idx="2">
                    <c:v>Jul</c:v>
                  </c:pt>
                  <c:pt idx="3">
                    <c:v>Aug</c:v>
                  </c:pt>
                  <c:pt idx="4">
                    <c:v>Sep</c:v>
                  </c:pt>
                </c:lvl>
                <c:lvl>
                  <c:pt idx="0">
                    <c:v>2020</c:v>
                  </c:pt>
                </c:lvl>
              </c:multiLvlStrCache>
            </c:multiLvlStrRef>
          </c:cat>
          <c:val>
            <c:numRef>
              <c:f>TotalSales!$D$5:$D$9</c:f>
              <c:numCache>
                <c:formatCode>#,##0</c:formatCode>
                <c:ptCount val="5"/>
                <c:pt idx="0">
                  <c:v>541.7299999999999</c:v>
                </c:pt>
                <c:pt idx="1">
                  <c:v>357.42999999999989</c:v>
                </c:pt>
                <c:pt idx="2">
                  <c:v>227.42500000000001</c:v>
                </c:pt>
                <c:pt idx="3">
                  <c:v>77.72</c:v>
                </c:pt>
                <c:pt idx="4">
                  <c:v>195.11</c:v>
                </c:pt>
              </c:numCache>
            </c:numRef>
          </c:val>
          <c:smooth val="0"/>
          <c:extLst>
            <c:ext xmlns:c16="http://schemas.microsoft.com/office/drawing/2014/chart" uri="{C3380CC4-5D6E-409C-BE32-E72D297353CC}">
              <c16:uniqueId val="{00000001-802B-4363-A17F-6E3FB0F4FF13}"/>
            </c:ext>
          </c:extLst>
        </c:ser>
        <c:ser>
          <c:idx val="2"/>
          <c:order val="2"/>
          <c:tx>
            <c:strRef>
              <c:f>TotalSales!$E$3:$E$4</c:f>
              <c:strCache>
                <c:ptCount val="1"/>
                <c:pt idx="0">
                  <c:v>Liberica</c:v>
                </c:pt>
              </c:strCache>
            </c:strRef>
          </c:tx>
          <c:spPr>
            <a:ln w="28575" cap="rnd">
              <a:solidFill>
                <a:schemeClr val="accent4">
                  <a:lumMod val="75000"/>
                </a:schemeClr>
              </a:solidFill>
              <a:round/>
            </a:ln>
            <a:effectLst/>
          </c:spPr>
          <c:marker>
            <c:symbol val="none"/>
          </c:marker>
          <c:cat>
            <c:multiLvlStrRef>
              <c:f>TotalSales!$A$5:$B$9</c:f>
              <c:multiLvlStrCache>
                <c:ptCount val="5"/>
                <c:lvl>
                  <c:pt idx="0">
                    <c:v>May</c:v>
                  </c:pt>
                  <c:pt idx="1">
                    <c:v>Jun</c:v>
                  </c:pt>
                  <c:pt idx="2">
                    <c:v>Jul</c:v>
                  </c:pt>
                  <c:pt idx="3">
                    <c:v>Aug</c:v>
                  </c:pt>
                  <c:pt idx="4">
                    <c:v>Sep</c:v>
                  </c:pt>
                </c:lvl>
                <c:lvl>
                  <c:pt idx="0">
                    <c:v>2020</c:v>
                  </c:pt>
                </c:lvl>
              </c:multiLvlStrCache>
            </c:multiLvlStrRef>
          </c:cat>
          <c:val>
            <c:numRef>
              <c:f>TotalSales!$E$5:$E$9</c:f>
              <c:numCache>
                <c:formatCode>#,##0</c:formatCode>
                <c:ptCount val="5"/>
                <c:pt idx="0">
                  <c:v>83.429999999999993</c:v>
                </c:pt>
                <c:pt idx="1">
                  <c:v>355.33999999999992</c:v>
                </c:pt>
                <c:pt idx="2">
                  <c:v>236.31500000000003</c:v>
                </c:pt>
                <c:pt idx="3">
                  <c:v>60.5</c:v>
                </c:pt>
                <c:pt idx="4">
                  <c:v>89.13</c:v>
                </c:pt>
              </c:numCache>
            </c:numRef>
          </c:val>
          <c:smooth val="0"/>
          <c:extLst>
            <c:ext xmlns:c16="http://schemas.microsoft.com/office/drawing/2014/chart" uri="{C3380CC4-5D6E-409C-BE32-E72D297353CC}">
              <c16:uniqueId val="{00000002-802B-4363-A17F-6E3FB0F4FF13}"/>
            </c:ext>
          </c:extLst>
        </c:ser>
        <c:ser>
          <c:idx val="3"/>
          <c:order val="3"/>
          <c:tx>
            <c:strRef>
              <c:f>TotalSales!$F$3:$F$4</c:f>
              <c:strCache>
                <c:ptCount val="1"/>
                <c:pt idx="0">
                  <c:v>Robusta</c:v>
                </c:pt>
              </c:strCache>
            </c:strRef>
          </c:tx>
          <c:spPr>
            <a:ln w="28575" cap="rnd">
              <a:solidFill>
                <a:srgbClr val="8A4C7B"/>
              </a:solidFill>
              <a:round/>
            </a:ln>
            <a:effectLst/>
          </c:spPr>
          <c:marker>
            <c:symbol val="none"/>
          </c:marker>
          <c:cat>
            <c:multiLvlStrRef>
              <c:f>TotalSales!$A$5:$B$9</c:f>
              <c:multiLvlStrCache>
                <c:ptCount val="5"/>
                <c:lvl>
                  <c:pt idx="0">
                    <c:v>May</c:v>
                  </c:pt>
                  <c:pt idx="1">
                    <c:v>Jun</c:v>
                  </c:pt>
                  <c:pt idx="2">
                    <c:v>Jul</c:v>
                  </c:pt>
                  <c:pt idx="3">
                    <c:v>Aug</c:v>
                  </c:pt>
                  <c:pt idx="4">
                    <c:v>Sep</c:v>
                  </c:pt>
                </c:lvl>
                <c:lvl>
                  <c:pt idx="0">
                    <c:v>2020</c:v>
                  </c:pt>
                </c:lvl>
              </c:multiLvlStrCache>
            </c:multiLvlStrRef>
          </c:cat>
          <c:val>
            <c:numRef>
              <c:f>TotalSales!$F$5:$F$9</c:f>
              <c:numCache>
                <c:formatCode>#,##0</c:formatCode>
                <c:ptCount val="5"/>
                <c:pt idx="0">
                  <c:v>59.079999999999991</c:v>
                </c:pt>
                <c:pt idx="1">
                  <c:v>140.88</c:v>
                </c:pt>
                <c:pt idx="2">
                  <c:v>414.58499999999998</c:v>
                </c:pt>
                <c:pt idx="3">
                  <c:v>139.67999999999998</c:v>
                </c:pt>
                <c:pt idx="4">
                  <c:v>302.65999999999997</c:v>
                </c:pt>
              </c:numCache>
            </c:numRef>
          </c:val>
          <c:smooth val="0"/>
          <c:extLst>
            <c:ext xmlns:c16="http://schemas.microsoft.com/office/drawing/2014/chart" uri="{C3380CC4-5D6E-409C-BE32-E72D297353CC}">
              <c16:uniqueId val="{00000005-802B-4363-A17F-6E3FB0F4FF13}"/>
            </c:ext>
          </c:extLst>
        </c:ser>
        <c:dLbls>
          <c:showLegendKey val="0"/>
          <c:showVal val="0"/>
          <c:showCatName val="0"/>
          <c:showSerName val="0"/>
          <c:showPercent val="0"/>
          <c:showBubbleSize val="0"/>
        </c:dLbls>
        <c:smooth val="0"/>
        <c:axId val="917139199"/>
        <c:axId val="917148767"/>
      </c:lineChart>
      <c:catAx>
        <c:axId val="91713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C6600"/>
                </a:solidFill>
                <a:latin typeface="+mn-lt"/>
                <a:ea typeface="+mn-ea"/>
                <a:cs typeface="+mn-cs"/>
              </a:defRPr>
            </a:pPr>
            <a:endParaRPr lang="en-US"/>
          </a:p>
        </c:txPr>
        <c:crossAx val="917148767"/>
        <c:crosses val="autoZero"/>
        <c:auto val="1"/>
        <c:lblAlgn val="ctr"/>
        <c:lblOffset val="100"/>
        <c:noMultiLvlLbl val="0"/>
      </c:catAx>
      <c:valAx>
        <c:axId val="917148767"/>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CC660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CC66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C6600"/>
                </a:solidFill>
                <a:latin typeface="+mn-lt"/>
                <a:ea typeface="+mn-ea"/>
                <a:cs typeface="+mn-cs"/>
              </a:defRPr>
            </a:pPr>
            <a:endParaRPr lang="en-US"/>
          </a:p>
        </c:txPr>
        <c:crossAx val="91713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CC66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4DBCA"/>
    </a:solidFill>
    <a:ln w="9525" cap="flat" cmpd="sng" algn="ctr">
      <a:solidFill>
        <a:schemeClr val="tx1">
          <a:lumMod val="15000"/>
          <a:lumOff val="85000"/>
        </a:schemeClr>
      </a:solidFill>
      <a:round/>
    </a:ln>
    <a:effectLst/>
  </c:spPr>
  <c:txPr>
    <a:bodyPr/>
    <a:lstStyle/>
    <a:p>
      <a:pPr>
        <a:defRPr>
          <a:solidFill>
            <a:srgbClr val="CC66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7"/>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rgbClr val="CC660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9900"/>
          </a:solidFill>
          <a:ln>
            <a:solidFill>
              <a:schemeClr val="bg1"/>
            </a:solidFill>
          </a:ln>
          <a:effectLst/>
        </c:spPr>
      </c:pivotFmt>
      <c:pivotFmt>
        <c:idx val="2"/>
        <c:spPr>
          <a:solidFill>
            <a:srgbClr val="FFCC66"/>
          </a:solidFill>
          <a:ln>
            <a:solidFill>
              <a:schemeClr val="bg1"/>
            </a:solidFill>
          </a:ln>
          <a:effectLst/>
        </c:spPr>
      </c:pivotFmt>
      <c:pivotFmt>
        <c:idx val="3"/>
        <c:spPr>
          <a:solidFill>
            <a:srgbClr val="D5B785"/>
          </a:solidFill>
          <a:ln>
            <a:solidFill>
              <a:schemeClr val="bg1"/>
            </a:solidFill>
          </a:ln>
          <a:effectLst/>
        </c:spPr>
      </c:pivotFmt>
      <c:pivotFmt>
        <c:idx val="4"/>
        <c:spPr>
          <a:solidFill>
            <a:srgbClr val="CC660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5B785"/>
          </a:solidFill>
          <a:ln>
            <a:solidFill>
              <a:schemeClr val="bg1"/>
            </a:solidFill>
          </a:ln>
          <a:effectLst/>
        </c:spPr>
      </c:pivotFmt>
      <c:pivotFmt>
        <c:idx val="6"/>
        <c:spPr>
          <a:solidFill>
            <a:srgbClr val="FFCC66"/>
          </a:solidFill>
          <a:ln>
            <a:solidFill>
              <a:schemeClr val="bg1"/>
            </a:solidFill>
          </a:ln>
          <a:effectLst/>
        </c:spPr>
      </c:pivotFmt>
      <c:pivotFmt>
        <c:idx val="7"/>
        <c:spPr>
          <a:solidFill>
            <a:srgbClr val="CC9900"/>
          </a:solidFill>
          <a:ln>
            <a:solidFill>
              <a:schemeClr val="bg1"/>
            </a:solidFill>
          </a:ln>
          <a:effectLst/>
        </c:spPr>
      </c:pivotFmt>
      <c:pivotFmt>
        <c:idx val="8"/>
        <c:spPr>
          <a:solidFill>
            <a:srgbClr val="CC660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5B785"/>
          </a:solidFill>
          <a:ln>
            <a:solidFill>
              <a:schemeClr val="bg1"/>
            </a:solidFill>
          </a:ln>
          <a:effectLst/>
        </c:spPr>
      </c:pivotFmt>
      <c:pivotFmt>
        <c:idx val="10"/>
        <c:spPr>
          <a:solidFill>
            <a:srgbClr val="FFCC66"/>
          </a:solidFill>
          <a:ln>
            <a:solidFill>
              <a:schemeClr val="bg1"/>
            </a:solidFill>
          </a:ln>
          <a:effectLst/>
        </c:spPr>
      </c:pivotFmt>
      <c:pivotFmt>
        <c:idx val="11"/>
        <c:spPr>
          <a:solidFill>
            <a:srgbClr val="CC9900"/>
          </a:solidFill>
          <a:ln>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CC6600"/>
            </a:solidFill>
            <a:ln>
              <a:solidFill>
                <a:schemeClr val="bg1"/>
              </a:solidFill>
            </a:ln>
            <a:effectLst/>
          </c:spPr>
          <c:invertIfNegative val="0"/>
          <c:dPt>
            <c:idx val="0"/>
            <c:invertIfNegative val="0"/>
            <c:bubble3D val="0"/>
            <c:spPr>
              <a:solidFill>
                <a:srgbClr val="D5B785"/>
              </a:solidFill>
              <a:ln>
                <a:solidFill>
                  <a:schemeClr val="bg1"/>
                </a:solidFill>
              </a:ln>
              <a:effectLst/>
            </c:spPr>
            <c:extLst>
              <c:ext xmlns:c16="http://schemas.microsoft.com/office/drawing/2014/chart" uri="{C3380CC4-5D6E-409C-BE32-E72D297353CC}">
                <c16:uniqueId val="{00000001-FAB0-4812-A090-744CE6EAF918}"/>
              </c:ext>
            </c:extLst>
          </c:dPt>
          <c:dPt>
            <c:idx val="1"/>
            <c:invertIfNegative val="0"/>
            <c:bubble3D val="0"/>
            <c:spPr>
              <a:solidFill>
                <a:srgbClr val="FFCC66"/>
              </a:solidFill>
              <a:ln>
                <a:solidFill>
                  <a:schemeClr val="bg1"/>
                </a:solidFill>
              </a:ln>
              <a:effectLst/>
            </c:spPr>
            <c:extLst>
              <c:ext xmlns:c16="http://schemas.microsoft.com/office/drawing/2014/chart" uri="{C3380CC4-5D6E-409C-BE32-E72D297353CC}">
                <c16:uniqueId val="{00000003-FAB0-4812-A090-744CE6EAF918}"/>
              </c:ext>
            </c:extLst>
          </c:dPt>
          <c:dPt>
            <c:idx val="2"/>
            <c:invertIfNegative val="0"/>
            <c:bubble3D val="0"/>
            <c:spPr>
              <a:solidFill>
                <a:srgbClr val="CC9900"/>
              </a:solidFill>
              <a:ln>
                <a:solidFill>
                  <a:schemeClr val="bg1"/>
                </a:solidFill>
              </a:ln>
              <a:effectLst/>
            </c:spPr>
            <c:extLst>
              <c:ext xmlns:c16="http://schemas.microsoft.com/office/drawing/2014/chart" uri="{C3380CC4-5D6E-409C-BE32-E72D297353CC}">
                <c16:uniqueId val="{00000005-FAB0-4812-A090-744CE6EAF918}"/>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474.815</c:v>
                </c:pt>
                <c:pt idx="1">
                  <c:v>575.88499999999999</c:v>
                </c:pt>
                <c:pt idx="2">
                  <c:v>3649.49</c:v>
                </c:pt>
              </c:numCache>
            </c:numRef>
          </c:val>
          <c:extLst>
            <c:ext xmlns:c16="http://schemas.microsoft.com/office/drawing/2014/chart" uri="{C3380CC4-5D6E-409C-BE32-E72D297353CC}">
              <c16:uniqueId val="{00000006-FAB0-4812-A090-744CE6EAF918}"/>
            </c:ext>
          </c:extLst>
        </c:ser>
        <c:dLbls>
          <c:dLblPos val="outEnd"/>
          <c:showLegendKey val="0"/>
          <c:showVal val="1"/>
          <c:showCatName val="0"/>
          <c:showSerName val="0"/>
          <c:showPercent val="0"/>
          <c:showBubbleSize val="0"/>
        </c:dLbls>
        <c:gapWidth val="182"/>
        <c:axId val="655719935"/>
        <c:axId val="655720351"/>
      </c:barChart>
      <c:catAx>
        <c:axId val="65571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655720351"/>
        <c:crosses val="autoZero"/>
        <c:auto val="1"/>
        <c:lblAlgn val="ctr"/>
        <c:lblOffset val="100"/>
        <c:noMultiLvlLbl val="0"/>
      </c:catAx>
      <c:valAx>
        <c:axId val="655720351"/>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65571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4DBCA"/>
    </a:solidFill>
    <a:ln w="9525" cap="flat" cmpd="sng" algn="ctr">
      <a:solidFill>
        <a:schemeClr val="tx1">
          <a:lumMod val="15000"/>
          <a:lumOff val="85000"/>
        </a:schemeClr>
      </a:solidFill>
      <a:round/>
    </a:ln>
    <a:effectLst/>
  </c:spPr>
  <c:txPr>
    <a:bodyPr/>
    <a:lstStyle/>
    <a:p>
      <a:pPr>
        <a:defRPr>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8"/>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rgbClr val="CC660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9900"/>
          </a:solidFill>
          <a:ln>
            <a:solidFill>
              <a:schemeClr val="bg1"/>
            </a:solidFill>
          </a:ln>
          <a:effectLst/>
        </c:spPr>
      </c:pivotFmt>
      <c:pivotFmt>
        <c:idx val="2"/>
        <c:spPr>
          <a:solidFill>
            <a:srgbClr val="FFCC66"/>
          </a:solidFill>
          <a:ln>
            <a:solidFill>
              <a:schemeClr val="bg1"/>
            </a:solidFill>
          </a:ln>
          <a:effectLst/>
        </c:spPr>
      </c:pivotFmt>
      <c:pivotFmt>
        <c:idx val="3"/>
        <c:spPr>
          <a:solidFill>
            <a:srgbClr val="D5B785"/>
          </a:solidFill>
          <a:ln>
            <a:solidFill>
              <a:schemeClr val="bg1"/>
            </a:solidFill>
          </a:ln>
          <a:effectLst/>
        </c:spPr>
      </c:pivotFmt>
      <c:pivotFmt>
        <c:idx val="4"/>
        <c:spPr>
          <a:solidFill>
            <a:srgbClr val="CC660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5B785"/>
          </a:solidFill>
          <a:ln>
            <a:solidFill>
              <a:schemeClr val="bg1"/>
            </a:solidFill>
          </a:ln>
          <a:effectLst/>
        </c:spPr>
      </c:pivotFmt>
      <c:pivotFmt>
        <c:idx val="6"/>
        <c:spPr>
          <a:solidFill>
            <a:srgbClr val="FFCC66"/>
          </a:solidFill>
          <a:ln>
            <a:solidFill>
              <a:schemeClr val="bg1"/>
            </a:solidFill>
          </a:ln>
          <a:effectLst/>
        </c:spPr>
      </c:pivotFmt>
      <c:pivotFmt>
        <c:idx val="7"/>
        <c:spPr>
          <a:solidFill>
            <a:srgbClr val="CC9900"/>
          </a:solidFill>
          <a:ln>
            <a:solidFill>
              <a:schemeClr val="bg1"/>
            </a:solidFill>
          </a:ln>
          <a:effectLst/>
        </c:spPr>
      </c:pivotFmt>
      <c:pivotFmt>
        <c:idx val="8"/>
        <c:spPr>
          <a:solidFill>
            <a:srgbClr val="CC660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660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CC6600"/>
            </a:solidFill>
            <a:ln>
              <a:solidFill>
                <a:schemeClr val="bg1"/>
              </a:solidFill>
            </a:ln>
            <a:effectLst/>
          </c:spPr>
          <c:invertIfNegative val="0"/>
          <c:dPt>
            <c:idx val="0"/>
            <c:invertIfNegative val="0"/>
            <c:bubble3D val="0"/>
            <c:extLst>
              <c:ext xmlns:c16="http://schemas.microsoft.com/office/drawing/2014/chart" uri="{C3380CC4-5D6E-409C-BE32-E72D297353CC}">
                <c16:uniqueId val="{00000000-AB82-4423-89BA-ACCADCDBDD74}"/>
              </c:ext>
            </c:extLst>
          </c:dPt>
          <c:dPt>
            <c:idx val="1"/>
            <c:invertIfNegative val="0"/>
            <c:bubble3D val="0"/>
            <c:extLst>
              <c:ext xmlns:c16="http://schemas.microsoft.com/office/drawing/2014/chart" uri="{C3380CC4-5D6E-409C-BE32-E72D297353CC}">
                <c16:uniqueId val="{00000001-AB82-4423-89BA-ACCADCDBDD74}"/>
              </c:ext>
            </c:extLst>
          </c:dPt>
          <c:dPt>
            <c:idx val="2"/>
            <c:invertIfNegative val="0"/>
            <c:bubble3D val="0"/>
            <c:extLst>
              <c:ext xmlns:c16="http://schemas.microsoft.com/office/drawing/2014/chart" uri="{C3380CC4-5D6E-409C-BE32-E72D297353CC}">
                <c16:uniqueId val="{00000002-AB82-4423-89BA-ACCADCDBDD74}"/>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Gregorius Trengrove</c:v>
                </c:pt>
                <c:pt idx="1">
                  <c:v>Wang Powlesland</c:v>
                </c:pt>
                <c:pt idx="2">
                  <c:v>Osbert Robins</c:v>
                </c:pt>
                <c:pt idx="3">
                  <c:v>Codi Littrell</c:v>
                </c:pt>
                <c:pt idx="4">
                  <c:v>Demetris Micheli</c:v>
                </c:pt>
              </c:strCache>
            </c:strRef>
          </c:cat>
          <c:val>
            <c:numRef>
              <c:f>Top5Customers!$B$4:$B$8</c:f>
              <c:numCache>
                <c:formatCode>[$$-409]#,##0</c:formatCode>
                <c:ptCount val="5"/>
                <c:pt idx="0">
                  <c:v>148.92499999999998</c:v>
                </c:pt>
                <c:pt idx="1">
                  <c:v>148.92499999999998</c:v>
                </c:pt>
                <c:pt idx="2">
                  <c:v>148.92499999999998</c:v>
                </c:pt>
                <c:pt idx="3">
                  <c:v>155.24999999999997</c:v>
                </c:pt>
                <c:pt idx="4">
                  <c:v>167.67000000000002</c:v>
                </c:pt>
              </c:numCache>
            </c:numRef>
          </c:val>
          <c:extLst>
            <c:ext xmlns:c16="http://schemas.microsoft.com/office/drawing/2014/chart" uri="{C3380CC4-5D6E-409C-BE32-E72D297353CC}">
              <c16:uniqueId val="{00000003-AB82-4423-89BA-ACCADCDBDD74}"/>
            </c:ext>
          </c:extLst>
        </c:ser>
        <c:dLbls>
          <c:dLblPos val="outEnd"/>
          <c:showLegendKey val="0"/>
          <c:showVal val="1"/>
          <c:showCatName val="0"/>
          <c:showSerName val="0"/>
          <c:showPercent val="0"/>
          <c:showBubbleSize val="0"/>
        </c:dLbls>
        <c:gapWidth val="182"/>
        <c:axId val="655719935"/>
        <c:axId val="655720351"/>
      </c:barChart>
      <c:catAx>
        <c:axId val="655719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655720351"/>
        <c:crosses val="autoZero"/>
        <c:auto val="1"/>
        <c:lblAlgn val="ctr"/>
        <c:lblOffset val="100"/>
        <c:noMultiLvlLbl val="0"/>
      </c:catAx>
      <c:valAx>
        <c:axId val="655720351"/>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65571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4DBCA"/>
    </a:solidFill>
    <a:ln w="9525" cap="flat" cmpd="sng" algn="ctr">
      <a:solidFill>
        <a:schemeClr val="tx1">
          <a:lumMod val="15000"/>
          <a:lumOff val="85000"/>
        </a:schemeClr>
      </a:solidFill>
      <a:round/>
    </a:ln>
    <a:effectLst/>
  </c:spPr>
  <c:txPr>
    <a:bodyPr/>
    <a:lstStyle/>
    <a:p>
      <a:pPr>
        <a:defRPr>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15240</xdr:colOff>
      <xdr:row>0</xdr:row>
      <xdr:rowOff>53340</xdr:rowOff>
    </xdr:from>
    <xdr:to>
      <xdr:col>26</xdr:col>
      <xdr:colOff>0</xdr:colOff>
      <xdr:row>4</xdr:row>
      <xdr:rowOff>0</xdr:rowOff>
    </xdr:to>
    <xdr:sp macro="" textlink="">
      <xdr:nvSpPr>
        <xdr:cNvPr id="2" name="Rectangle 1">
          <a:extLst>
            <a:ext uri="{FF2B5EF4-FFF2-40B4-BE49-F238E27FC236}">
              <a16:creationId xmlns:a16="http://schemas.microsoft.com/office/drawing/2014/main" id="{5593EE80-F551-CCBF-7F4D-6B164762D739}"/>
            </a:ext>
          </a:extLst>
        </xdr:cNvPr>
        <xdr:cNvSpPr/>
      </xdr:nvSpPr>
      <xdr:spPr>
        <a:xfrm>
          <a:off x="137160" y="53340"/>
          <a:ext cx="15224760" cy="55626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PH" sz="2800">
              <a:solidFill>
                <a:schemeClr val="bg1"/>
              </a:solidFill>
            </a:rPr>
            <a:t>COFEE</a:t>
          </a:r>
          <a:r>
            <a:rPr lang="en-PH" sz="2800" baseline="0">
              <a:solidFill>
                <a:schemeClr val="bg1"/>
              </a:solidFill>
            </a:rPr>
            <a:t> SALES DASHBOARD</a:t>
          </a:r>
          <a:endParaRPr lang="en-PH" sz="2800">
            <a:solidFill>
              <a:schemeClr val="bg1"/>
            </a:solidFill>
          </a:endParaRPr>
        </a:p>
      </xdr:txBody>
    </xdr:sp>
    <xdr:clientData/>
  </xdr:twoCellAnchor>
  <xdr:twoCellAnchor>
    <xdr:from>
      <xdr:col>1</xdr:col>
      <xdr:colOff>0</xdr:colOff>
      <xdr:row>15</xdr:row>
      <xdr:rowOff>0</xdr:rowOff>
    </xdr:from>
    <xdr:to>
      <xdr:col>15</xdr:col>
      <xdr:colOff>495300</xdr:colOff>
      <xdr:row>38</xdr:row>
      <xdr:rowOff>0</xdr:rowOff>
    </xdr:to>
    <xdr:graphicFrame macro="">
      <xdr:nvGraphicFramePr>
        <xdr:cNvPr id="3" name="Chart 2">
          <a:extLst>
            <a:ext uri="{FF2B5EF4-FFF2-40B4-BE49-F238E27FC236}">
              <a16:creationId xmlns:a16="http://schemas.microsoft.com/office/drawing/2014/main" id="{64CE2F93-E47D-4411-8E70-48CBC4181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0</xdr:rowOff>
    </xdr:from>
    <xdr:to>
      <xdr:col>15</xdr:col>
      <xdr:colOff>487680</xdr:colOff>
      <xdr:row>14</xdr:row>
      <xdr:rowOff>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6ECB8567-ED75-430A-B097-9BA26655CF4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8533" y="804333"/>
              <a:ext cx="9022080" cy="167640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16</xdr:col>
      <xdr:colOff>0</xdr:colOff>
      <xdr:row>8</xdr:row>
      <xdr:rowOff>175260</xdr:rowOff>
    </xdr:from>
    <xdr:to>
      <xdr:col>20</xdr:col>
      <xdr:colOff>495300</xdr:colOff>
      <xdr:row>14</xdr:row>
      <xdr:rowOff>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B4B1A7D2-271E-4EBB-8856-72792476AA1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262533" y="1538393"/>
              <a:ext cx="2933700" cy="94234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5</xdr:row>
      <xdr:rowOff>0</xdr:rowOff>
    </xdr:from>
    <xdr:to>
      <xdr:col>25</xdr:col>
      <xdr:colOff>510540</xdr:colOff>
      <xdr:row>8</xdr:row>
      <xdr:rowOff>114299</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E1ABE572-22B9-4CF2-B3CD-CAA4FE38CE3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262533" y="804333"/>
              <a:ext cx="5996940" cy="67309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601980</xdr:colOff>
      <xdr:row>8</xdr:row>
      <xdr:rowOff>167640</xdr:rowOff>
    </xdr:from>
    <xdr:to>
      <xdr:col>25</xdr:col>
      <xdr:colOff>495300</xdr:colOff>
      <xdr:row>13</xdr:row>
      <xdr:rowOff>160019</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5C90E73C-A7F5-4D59-B436-9F5CDA8FFBE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302913" y="1530773"/>
              <a:ext cx="2941320" cy="92371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15</xdr:row>
      <xdr:rowOff>0</xdr:rowOff>
    </xdr:from>
    <xdr:to>
      <xdr:col>25</xdr:col>
      <xdr:colOff>441960</xdr:colOff>
      <xdr:row>24</xdr:row>
      <xdr:rowOff>114300</xdr:rowOff>
    </xdr:to>
    <xdr:graphicFrame macro="">
      <xdr:nvGraphicFramePr>
        <xdr:cNvPr id="8" name="Chart 7">
          <a:extLst>
            <a:ext uri="{FF2B5EF4-FFF2-40B4-BE49-F238E27FC236}">
              <a16:creationId xmlns:a16="http://schemas.microsoft.com/office/drawing/2014/main" id="{6589602D-04C3-4557-AC06-B989A2B12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25</xdr:row>
      <xdr:rowOff>0</xdr:rowOff>
    </xdr:from>
    <xdr:to>
      <xdr:col>25</xdr:col>
      <xdr:colOff>441960</xdr:colOff>
      <xdr:row>38</xdr:row>
      <xdr:rowOff>0</xdr:rowOff>
    </xdr:to>
    <xdr:graphicFrame macro="">
      <xdr:nvGraphicFramePr>
        <xdr:cNvPr id="9" name="Chart 8">
          <a:extLst>
            <a:ext uri="{FF2B5EF4-FFF2-40B4-BE49-F238E27FC236}">
              <a16:creationId xmlns:a16="http://schemas.microsoft.com/office/drawing/2014/main" id="{1F2E5BAA-6248-42C1-AC9A-552756D4A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RA CALLEJA" refreshedDate="46005.448746296293" createdVersion="8" refreshedVersion="8" minRefreshableVersion="3" recordCount="1000" xr:uid="{ABC9A6C7-B2A7-4085-AF3F-C53644777DCB}">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43360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DC7FB5-60F8-44E6-9191-ED1F9FFD6E42}"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9"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5">
    <i>
      <x v="2"/>
      <x v="5"/>
    </i>
    <i r="1">
      <x v="6"/>
    </i>
    <i r="1">
      <x v="7"/>
    </i>
    <i r="1">
      <x v="8"/>
    </i>
    <i r="1">
      <x v="9"/>
    </i>
  </rowItems>
  <colFields count="1">
    <field x="13"/>
  </colFields>
  <colItems count="4">
    <i>
      <x/>
    </i>
    <i>
      <x v="1"/>
    </i>
    <i>
      <x v="2"/>
    </i>
    <i>
      <x v="3"/>
    </i>
  </colItems>
  <dataFields count="1">
    <dataField name="Sum of Sales" fld="12" baseField="1" baseItem="1" numFmtId="3"/>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44" name="Order Date">
      <autoFilter ref="A1">
        <filterColumn colId="0">
          <customFilters and="1">
            <customFilter operator="greaterThanOrEqual" val="43952"/>
            <customFilter operator="lessThanOrEqual" val="441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188AFF-36BA-4B03-A213-35F44938FF9F}"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38" name="Order Date">
      <autoFilter ref="A1">
        <filterColumn colId="0">
          <customFilters and="1">
            <customFilter operator="greaterThanOrEqual" val="43952"/>
            <customFilter operator="lessThanOrEqual" val="441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2E99-C4E7-419B-A48E-770F5C688279}"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371"/>
    </i>
    <i>
      <x v="879"/>
    </i>
    <i>
      <x v="679"/>
    </i>
    <i>
      <x v="189"/>
    </i>
    <i>
      <x v="233"/>
    </i>
  </rowItems>
  <colItems count="1">
    <i/>
  </colItems>
  <dataFields count="1">
    <dataField name="Sum of Sales" fld="12" baseField="7" baseItem="1" numFmtId="168"/>
  </dataFields>
  <chartFormats count="5">
    <chartFormat chart="1"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39" name="Order Date">
      <autoFilter ref="A1">
        <filterColumn colId="0">
          <customFilters and="1">
            <customFilter operator="greaterThanOrEqual" val="43952"/>
            <customFilter operator="lessThanOrEqual" val="44104"/>
          </customFilters>
        </filterColumn>
      </autoFilter>
      <extLst>
        <ext xmlns:x15="http://schemas.microsoft.com/office/spreadsheetml/2010/11/main" uri="{0605FD5F-26C8-4aeb-8148-2DB25E43C511}">
          <x15:pivotFilter useWholeDay="1"/>
        </ext>
      </extLst>
    </filter>
    <filter fld="5" type="count" evalOrder="-1" id="2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71AA3A6-CB03-4B01-A2CD-6743D1F5D18E}" sourceName="Size">
  <pivotTables>
    <pivotTable tabId="18" name="TotalSales"/>
    <pivotTable tabId="19" name="TotalSales"/>
    <pivotTable tabId="20" name="TotalSales"/>
  </pivotTables>
  <data>
    <tabular pivotCacheId="34336042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253CA28-7582-4C0B-A1C6-468BFBAEADA9}" sourceName="Roast Type Name">
  <pivotTables>
    <pivotTable tabId="18" name="TotalSales"/>
    <pivotTable tabId="19" name="TotalSales"/>
    <pivotTable tabId="20" name="TotalSales"/>
  </pivotTables>
  <data>
    <tabular pivotCacheId="34336042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EDDE50E-4A60-4171-A708-A7A26D8A52CB}" sourceName="Loyalty Card">
  <pivotTables>
    <pivotTable tabId="18" name="TotalSales"/>
    <pivotTable tabId="19" name="TotalSales"/>
    <pivotTable tabId="20" name="TotalSales"/>
  </pivotTables>
  <data>
    <tabular pivotCacheId="34336042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4C7A9F3-E452-4DBA-A4CB-A0CAEA9C474E}" cache="Slicer_Size" caption="Size" columnCount="2" style="Coffee Slicer" rowHeight="234950"/>
  <slicer name="Roast Type Name" xr10:uid="{C98BAE6F-574B-420F-8D14-3F6DFAE46420}" cache="Slicer_Roast_Type_Name" caption="Roast Type Name" columnCount="3" style="Coffee Slicer" rowHeight="234950"/>
  <slicer name="Loyalty Card" xr10:uid="{A87896C5-58C9-40B9-A526-CF46E7E1F68C}" cache="Slicer_Loyalty_Card" caption="Loyalty Card" style="Coffe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170B33-14D9-4CAC-A4FE-EB10321AD370}" name="Orders" displayName="Orders" ref="A1:P1001" totalsRowShown="0" headerRowDxfId="15">
  <autoFilter ref="A1:P1001" xr:uid="{C2170B33-14D9-4CAC-A4FE-EB10321AD370}"/>
  <tableColumns count="16">
    <tableColumn id="1" xr3:uid="{8E24D856-339B-44CB-BFDE-9996CBE8FCFF}" name="Order ID" dataDxfId="14"/>
    <tableColumn id="2" xr3:uid="{208908D9-EDBE-4C37-8E14-B2AFFD8E45E5}" name="Order Date" dataDxfId="13"/>
    <tableColumn id="3" xr3:uid="{64B68215-9D1C-4F87-A39C-0E618A169C80}" name="Customer ID" dataDxfId="12"/>
    <tableColumn id="4" xr3:uid="{04F82DD5-8E31-4785-B7C5-373572AA7ABB}" name="Product ID"/>
    <tableColumn id="5" xr3:uid="{14A9FBF5-83CF-488C-BA41-0083FD4CAEEA}" name="Quantity" dataDxfId="11"/>
    <tableColumn id="6" xr3:uid="{F76433C0-1251-42D0-BC21-8780C657115A}" name="Customer Name" dataDxfId="10">
      <calculatedColumnFormula>_xlfn.XLOOKUP(C2,customers!$A$1:$A$1001,customers!$B$1:$B$1001,,0)</calculatedColumnFormula>
    </tableColumn>
    <tableColumn id="7" xr3:uid="{3209B148-C318-4612-AC77-201D81D7A5E7}" name="Email" dataDxfId="9">
      <calculatedColumnFormula>IF(_xlfn.XLOOKUP(C2,customers!$A$1:$A$1001,customers!$C$1:$C$1001,,0)=0,"",_xlfn.XLOOKUP(C2,customers!$A$1:$A$1001,customers!$C$1:$C$1001,,0))</calculatedColumnFormula>
    </tableColumn>
    <tableColumn id="8" xr3:uid="{F5587199-0674-47A1-A3A6-1C38635D36FF}" name="Country" dataDxfId="8">
      <calculatedColumnFormula>_xlfn.XLOOKUP(C2,customers!$A$1:$A$1001,customers!$G$1:$G$1001,,0)</calculatedColumnFormula>
    </tableColumn>
    <tableColumn id="9" xr3:uid="{D8BA7C68-6A48-40C3-BFBD-DA4B56F61E70}" name="Coffee Type">
      <calculatedColumnFormula>INDEX(products!$A$1:$G$49,MATCH(orders!$D2,products!$A$1:$A$49,0),MATCH(orders!I$1,products!$A$1:$G$1,0))</calculatedColumnFormula>
    </tableColumn>
    <tableColumn id="10" xr3:uid="{78A5FAA0-AFFD-48AF-BC94-6AD141EFD224}" name="Roast Type">
      <calculatedColumnFormula>INDEX(products!$A$1:$G$49,MATCH(orders!$D2,products!$A$1:$A$49,0),MATCH(orders!J$1,products!$A$1:$G$1,0))</calculatedColumnFormula>
    </tableColumn>
    <tableColumn id="11" xr3:uid="{38B23ECF-AE5F-4C1E-8CE0-77B271B9E9B3}" name="Size" dataDxfId="7">
      <calculatedColumnFormula>INDEX(products!$A$1:$G$49,MATCH(orders!$D2,products!$A$1:$A$49,0),MATCH(orders!K$1,products!$A$1:$G$1,0))</calculatedColumnFormula>
    </tableColumn>
    <tableColumn id="12" xr3:uid="{70DBE049-E1D7-47AE-9636-B467E095C0D8}" name="Unit Price" dataDxfId="6">
      <calculatedColumnFormula>INDEX(products!$A$1:$G$49,MATCH(orders!$D2,products!$A$1:$A$49,0),MATCH(orders!L$1,products!$A$1:$G$1,0))</calculatedColumnFormula>
    </tableColumn>
    <tableColumn id="13" xr3:uid="{9A684B5E-FED3-404A-AAA2-556AE3460DAF}" name="Sales" dataDxfId="5">
      <calculatedColumnFormula>L2*E2</calculatedColumnFormula>
    </tableColumn>
    <tableColumn id="14" xr3:uid="{0EC58CC8-BD51-431A-A522-4BC1D0837F7F}" name="Coffee Type Name">
      <calculatedColumnFormula>IF(I2="Rob","Robusta", IF(I2="Exc","Excelsa", IF(I2="Ara","Arabica",IF(I2="Lib", "Liberica",""))))</calculatedColumnFormula>
    </tableColumn>
    <tableColumn id="15" xr3:uid="{5A6A01BB-BC4A-4BE0-8231-EF6348DD6855}" name="Roast Type Name">
      <calculatedColumnFormula>IF(J2="M","Medium",IF(J2="L","Light",IF(J2="D","Dark","")))</calculatedColumnFormula>
    </tableColumn>
    <tableColumn id="16" xr3:uid="{D34A8E10-0DE6-4DD6-A24B-8E2951097613}" name="Loyalty Card" dataDxfId="2">
      <calculatedColumnFormula>_xlfn.XLOOKUP(Orders[[#This Row],[Customer ID]],customers!$A$1:$A$1001,customers!$I$1:$I$1001,,0)</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21778BC-5D43-488B-8166-55BF28B7926C}" sourceName="Order Date">
  <pivotTables>
    <pivotTable tabId="18" name="TotalSales"/>
    <pivotTable tabId="19" name="TotalSales"/>
    <pivotTable tabId="20" name="TotalSales"/>
  </pivotTables>
  <state minimalRefreshVersion="6" lastRefreshVersion="6" pivotCacheId="343360427" filterType="dateBetween">
    <selection startDate="2020-05-01T00:00:00" endDate="2020-09-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20B8688-40F2-4741-92AD-0D53A75A928F}" cache="NativeTimeline_Order_Date" caption="Order Date" level="2" selectionLevel="2" scrollPosition="2019-06-07T00:00:00" style="Coffe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A339A-059C-4FEA-85E1-B03679192711}">
  <dimension ref="A1"/>
  <sheetViews>
    <sheetView showGridLines="0" showRowColHeaders="0" tabSelected="1" zoomScale="90" zoomScaleNormal="90" workbookViewId="0">
      <selection activeCell="AA15" sqref="AA15"/>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AA1AE-E0B2-426A-95F6-38D1DF2BA764}">
  <dimension ref="A3:F9"/>
  <sheetViews>
    <sheetView workbookViewId="0">
      <selection activeCell="G16" sqref="G16"/>
    </sheetView>
  </sheetViews>
  <sheetFormatPr defaultRowHeight="14.4" x14ac:dyDescent="0.3"/>
  <cols>
    <col min="1" max="1" width="14.5546875" customWidth="1"/>
    <col min="2" max="2" width="12.3320312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6209</v>
      </c>
      <c r="C3" s="6" t="s">
        <v>6196</v>
      </c>
    </row>
    <row r="4" spans="1:6" x14ac:dyDescent="0.3">
      <c r="A4" s="6" t="s">
        <v>6204</v>
      </c>
      <c r="B4" s="6" t="s">
        <v>1</v>
      </c>
      <c r="C4" t="s">
        <v>6205</v>
      </c>
      <c r="D4" t="s">
        <v>6206</v>
      </c>
      <c r="E4" t="s">
        <v>6207</v>
      </c>
      <c r="F4" t="s">
        <v>6208</v>
      </c>
    </row>
    <row r="5" spans="1:6" x14ac:dyDescent="0.3">
      <c r="A5" t="s">
        <v>6203</v>
      </c>
      <c r="B5" s="7" t="s">
        <v>6198</v>
      </c>
      <c r="C5" s="8">
        <v>255.11499999999998</v>
      </c>
      <c r="D5" s="8">
        <v>541.7299999999999</v>
      </c>
      <c r="E5" s="8">
        <v>83.429999999999993</v>
      </c>
      <c r="F5" s="8">
        <v>59.079999999999991</v>
      </c>
    </row>
    <row r="6" spans="1:6" x14ac:dyDescent="0.3">
      <c r="B6" s="7" t="s">
        <v>6199</v>
      </c>
      <c r="C6" s="8">
        <v>584.79</v>
      </c>
      <c r="D6" s="8">
        <v>357.42999999999989</v>
      </c>
      <c r="E6" s="8">
        <v>355.33999999999992</v>
      </c>
      <c r="F6" s="8">
        <v>140.88</v>
      </c>
    </row>
    <row r="7" spans="1:6" x14ac:dyDescent="0.3">
      <c r="B7" s="7" t="s">
        <v>6200</v>
      </c>
      <c r="C7" s="8">
        <v>430.61999999999995</v>
      </c>
      <c r="D7" s="8">
        <v>227.42500000000001</v>
      </c>
      <c r="E7" s="8">
        <v>236.31500000000003</v>
      </c>
      <c r="F7" s="8">
        <v>414.58499999999998</v>
      </c>
    </row>
    <row r="8" spans="1:6" x14ac:dyDescent="0.3">
      <c r="B8" s="7" t="s">
        <v>6201</v>
      </c>
      <c r="C8" s="8">
        <v>22.5</v>
      </c>
      <c r="D8" s="8">
        <v>77.72</v>
      </c>
      <c r="E8" s="8">
        <v>60.5</v>
      </c>
      <c r="F8" s="8">
        <v>139.67999999999998</v>
      </c>
    </row>
    <row r="9" spans="1:6" x14ac:dyDescent="0.3">
      <c r="B9" s="7" t="s">
        <v>6202</v>
      </c>
      <c r="C9" s="8">
        <v>126.14999999999999</v>
      </c>
      <c r="D9" s="8">
        <v>195.11</v>
      </c>
      <c r="E9" s="8">
        <v>89.13</v>
      </c>
      <c r="F9" s="8">
        <v>302.65999999999997</v>
      </c>
    </row>
  </sheetData>
  <pageMargins left="0.7" right="0.7" top="0.75" bottom="0.75" header="0.3" footer="0.3"/>
  <pageSetup paperSize="9" orientation="portrait" horizontalDpi="0"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805A7-A00A-4C68-890C-2A568E5EE0F9}">
  <dimension ref="A3:B6"/>
  <sheetViews>
    <sheetView workbookViewId="0">
      <selection activeCell="B3" sqref="B3"/>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6" t="s">
        <v>7</v>
      </c>
      <c r="B3" t="s">
        <v>6209</v>
      </c>
    </row>
    <row r="4" spans="1:2" x14ac:dyDescent="0.3">
      <c r="A4" t="s">
        <v>28</v>
      </c>
      <c r="B4" s="9">
        <v>474.815</v>
      </c>
    </row>
    <row r="5" spans="1:2" x14ac:dyDescent="0.3">
      <c r="A5" t="s">
        <v>318</v>
      </c>
      <c r="B5" s="9">
        <v>575.88499999999999</v>
      </c>
    </row>
    <row r="6" spans="1:2" x14ac:dyDescent="0.3">
      <c r="A6" t="s">
        <v>19</v>
      </c>
      <c r="B6" s="9">
        <v>3649.49</v>
      </c>
    </row>
  </sheetData>
  <pageMargins left="0.7" right="0.7" top="0.75" bottom="0.75" header="0.3" footer="0.3"/>
  <pageSetup paperSize="9" orientation="portrait" horizontalDpi="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9254-0189-4A3F-B9E4-B6FC9E93C8FF}">
  <dimension ref="A3:B8"/>
  <sheetViews>
    <sheetView workbookViewId="0">
      <selection activeCell="B3" sqref="B3"/>
    </sheetView>
  </sheetViews>
  <sheetFormatPr defaultRowHeight="14.4" x14ac:dyDescent="0.3"/>
  <cols>
    <col min="1" max="1" width="17.6640625" bestFit="1" customWidth="1"/>
    <col min="2" max="2" width="11.6640625" bestFit="1" customWidth="1"/>
    <col min="3" max="3" width="7" bestFit="1" customWidth="1"/>
    <col min="4" max="4" width="7.44140625" bestFit="1" customWidth="1"/>
    <col min="5" max="6" width="7.88671875" bestFit="1" customWidth="1"/>
  </cols>
  <sheetData>
    <row r="3" spans="1:2" x14ac:dyDescent="0.3">
      <c r="A3" s="6" t="s">
        <v>4</v>
      </c>
      <c r="B3" t="s">
        <v>6209</v>
      </c>
    </row>
    <row r="4" spans="1:2" x14ac:dyDescent="0.3">
      <c r="A4" t="s">
        <v>4981</v>
      </c>
      <c r="B4" s="9">
        <v>148.92499999999998</v>
      </c>
    </row>
    <row r="5" spans="1:2" x14ac:dyDescent="0.3">
      <c r="A5" t="s">
        <v>3907</v>
      </c>
      <c r="B5" s="9">
        <v>148.92499999999998</v>
      </c>
    </row>
    <row r="6" spans="1:2" x14ac:dyDescent="0.3">
      <c r="A6" t="s">
        <v>1235</v>
      </c>
      <c r="B6" s="9">
        <v>148.92499999999998</v>
      </c>
    </row>
    <row r="7" spans="1:2" x14ac:dyDescent="0.3">
      <c r="A7" t="s">
        <v>1847</v>
      </c>
      <c r="B7" s="9">
        <v>155.24999999999997</v>
      </c>
    </row>
    <row r="8" spans="1:2" x14ac:dyDescent="0.3">
      <c r="A8" t="s">
        <v>6032</v>
      </c>
      <c r="B8" s="9">
        <v>167.67000000000002</v>
      </c>
    </row>
  </sheetData>
  <pageMargins left="0.7" right="0.7" top="0.75" bottom="0.75" header="0.3" footer="0.3"/>
  <pageSetup paperSize="9" orientation="portrait"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P2" sqref="P2"/>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1.8867187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 IF(I2="Exc","Excelsa", IF(I2="Ara","Arabica",IF(I2="Lib", "Liberica",""))))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 IF(I3="Exc","Excelsa", IF(I3="Ara","Arabica",IF(I3="Lib", "Liberica",""))))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 IF(I67="Exc","Excelsa", IF(I67="Ara","Arabica",IF(I67="Lib", "Liberica",""))))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 IF(I131="Exc","Excelsa", IF(I131="Ara","Arabica",IF(I131="Lib", "Liberica",""))))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 IF(I195="Exc","Excelsa", IF(I195="Ara","Arabica",IF(I195="Lib", "Liberica",""))))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 IF(I259="Exc","Excelsa", IF(I259="Ara","Arabica",IF(I259="Lib", "Liberica",""))))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 IF(I323="Exc","Excelsa", IF(I323="Ara","Arabica",IF(I323="Lib", "Liberica",""))))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 IF(I387="Exc","Excelsa", IF(I387="Ara","Arabica",IF(I387="Lib", "Liberica",""))))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 IF(I451="Exc","Excelsa", IF(I451="Ara","Arabica",IF(I451="Lib", "Liberica",""))))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 IF(I515="Exc","Excelsa", IF(I515="Ara","Arabica",IF(I515="Lib", "Liberica",""))))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 IF(I579="Exc","Excelsa", IF(I579="Ara","Arabica",IF(I579="Lib", "Liberica",""))))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 IF(I643="Exc","Excelsa", IF(I643="Ara","Arabica",IF(I643="Lib", "Liberica",""))))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 IF(I707="Exc","Excelsa", IF(I707="Ara","Arabica",IF(I707="Lib", "Liberica",""))))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 IF(I771="Exc","Excelsa", IF(I771="Ara","Arabica",IF(I771="Lib", "Liberica",""))))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 IF(I835="Exc","Excelsa", IF(I835="Ara","Arabica",IF(I835="Lib", "Liberica",""))))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 IF(I899="Exc","Excelsa", IF(I899="Ara","Arabica",IF(I899="Lib", "Liberica",""))))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 IF(I963="Exc","Excelsa", IF(I963="Ara","Arabica",IF(I963="Lib", "Liberica",""))))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horizontalDpi="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4" workbookViewId="0">
      <selection activeCell="C7" sqref="C7"/>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34" workbookViewId="0">
      <selection activeCell="B20" sqref="B20"/>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LARA CALLEJA</cp:lastModifiedBy>
  <cp:revision/>
  <dcterms:created xsi:type="dcterms:W3CDTF">2022-11-26T09:51:45Z</dcterms:created>
  <dcterms:modified xsi:type="dcterms:W3CDTF">2025-12-14T07:57:28Z</dcterms:modified>
  <cp:category/>
  <cp:contentStatus/>
</cp:coreProperties>
</file>